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otang14/Desktop/"/>
    </mc:Choice>
  </mc:AlternateContent>
  <xr:revisionPtr revIDLastSave="0" documentId="13_ncr:1_{70708D5F-52FD-0F4E-8B2E-6963BE3B20D9}" xr6:coauthVersionLast="47" xr6:coauthVersionMax="47" xr10:uidLastSave="{00000000-0000-0000-0000-000000000000}"/>
  <bookViews>
    <workbookView xWindow="0" yWindow="600" windowWidth="38400" windowHeight="19760" activeTab="1" xr2:uid="{7A9A4399-066A-4042-9A1F-9E24A687013F}"/>
  </bookViews>
  <sheets>
    <sheet name="ablation" sheetId="1" r:id="rId1"/>
    <sheet name="complete result" sheetId="2" r:id="rId2"/>
  </sheets>
  <definedNames>
    <definedName name="_xlnm._FilterDatabase" localSheetId="0" hidden="1">ablation!$B$1:$O$62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1" i="1" l="1"/>
  <c r="L51" i="1"/>
  <c r="K51" i="1"/>
  <c r="J51" i="1"/>
  <c r="J36" i="1"/>
  <c r="M36" i="1"/>
  <c r="L36" i="1"/>
  <c r="K36" i="1"/>
  <c r="J15" i="1"/>
  <c r="K15" i="1"/>
  <c r="L15" i="1"/>
  <c r="M15" i="1"/>
  <c r="L52" i="1"/>
  <c r="L53" i="1"/>
  <c r="M52" i="1"/>
  <c r="L54" i="1"/>
  <c r="M53" i="1"/>
  <c r="L55" i="1"/>
  <c r="M54" i="1"/>
  <c r="L56" i="1"/>
  <c r="M55" i="1"/>
  <c r="L57" i="1"/>
  <c r="M56" i="1"/>
  <c r="L58" i="1"/>
  <c r="M57" i="1"/>
  <c r="L59" i="1"/>
  <c r="M58" i="1"/>
  <c r="L60" i="1"/>
  <c r="M59" i="1"/>
  <c r="L61" i="1"/>
  <c r="M60" i="1"/>
  <c r="M61" i="1"/>
  <c r="K57" i="1"/>
  <c r="J52" i="1"/>
  <c r="K53" i="1"/>
  <c r="J53" i="1"/>
  <c r="K54" i="1"/>
  <c r="J54" i="1"/>
  <c r="K55" i="1"/>
  <c r="J55" i="1"/>
  <c r="K56" i="1"/>
  <c r="J56" i="1"/>
  <c r="J57" i="1"/>
  <c r="K58" i="1"/>
  <c r="J58" i="1"/>
  <c r="K59" i="1"/>
  <c r="J59" i="1"/>
  <c r="K60" i="1"/>
  <c r="J60" i="1"/>
  <c r="K61" i="1"/>
  <c r="J61" i="1"/>
  <c r="K52" i="1"/>
  <c r="K40" i="1"/>
  <c r="J40" i="1"/>
  <c r="L40" i="1"/>
  <c r="M40" i="1"/>
  <c r="J41" i="1"/>
  <c r="K41" i="1"/>
  <c r="L41" i="1"/>
  <c r="M41" i="1"/>
  <c r="J42" i="1"/>
  <c r="K42" i="1"/>
  <c r="L42" i="1"/>
  <c r="M42" i="1"/>
  <c r="J43" i="1"/>
  <c r="K43" i="1"/>
  <c r="L43" i="1"/>
  <c r="M43" i="1"/>
  <c r="J44" i="1"/>
  <c r="K44" i="1"/>
  <c r="L44" i="1"/>
  <c r="M44" i="1"/>
  <c r="J45" i="1"/>
  <c r="K45" i="1"/>
  <c r="L45" i="1"/>
  <c r="M45" i="1"/>
  <c r="J46" i="1"/>
  <c r="K46" i="1"/>
  <c r="L46" i="1"/>
  <c r="M46" i="1"/>
  <c r="J47" i="1"/>
  <c r="K47" i="1"/>
  <c r="L47" i="1"/>
  <c r="M47" i="1"/>
  <c r="J48" i="1"/>
  <c r="K48" i="1"/>
  <c r="L48" i="1"/>
  <c r="M48" i="1"/>
  <c r="J49" i="1"/>
  <c r="K49" i="1"/>
  <c r="L49" i="1"/>
  <c r="M49" i="1"/>
  <c r="L39" i="1"/>
  <c r="M39" i="1"/>
  <c r="K39" i="1"/>
  <c r="J39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3" i="1"/>
  <c r="K33" i="1"/>
  <c r="L33" i="1"/>
  <c r="M33" i="1"/>
  <c r="J34" i="1"/>
  <c r="K34" i="1"/>
  <c r="L34" i="1"/>
  <c r="M34" i="1"/>
  <c r="J35" i="1"/>
  <c r="K35" i="1"/>
  <c r="L35" i="1"/>
  <c r="M35" i="1"/>
  <c r="J37" i="1"/>
  <c r="K37" i="1"/>
  <c r="L37" i="1"/>
  <c r="M37" i="1"/>
  <c r="L27" i="1"/>
  <c r="M27" i="1"/>
  <c r="K27" i="1"/>
  <c r="J27" i="1"/>
  <c r="J19" i="1"/>
  <c r="J17" i="1"/>
  <c r="J16" i="1"/>
  <c r="K16" i="1"/>
  <c r="L16" i="1"/>
  <c r="M16" i="1"/>
  <c r="K17" i="1"/>
  <c r="L17" i="1"/>
  <c r="M17" i="1"/>
  <c r="J18" i="1"/>
  <c r="K18" i="1"/>
  <c r="L18" i="1"/>
  <c r="M18" i="1"/>
  <c r="K19" i="1"/>
  <c r="L19" i="1"/>
  <c r="M19" i="1"/>
  <c r="J20" i="1"/>
  <c r="K20" i="1"/>
  <c r="L20" i="1"/>
  <c r="M20" i="1"/>
  <c r="J21" i="1"/>
  <c r="K21" i="1"/>
  <c r="L21" i="1"/>
  <c r="M21" i="1"/>
  <c r="J22" i="1"/>
  <c r="K22" i="1"/>
  <c r="L22" i="1"/>
  <c r="M22" i="1"/>
  <c r="J23" i="1"/>
  <c r="K23" i="1"/>
  <c r="L23" i="1"/>
  <c r="M23" i="1"/>
  <c r="J24" i="1"/>
  <c r="K24" i="1"/>
  <c r="L24" i="1"/>
  <c r="M24" i="1"/>
  <c r="J25" i="1"/>
  <c r="K25" i="1"/>
  <c r="L25" i="1"/>
  <c r="M25" i="1"/>
</calcChain>
</file>

<file path=xl/sharedStrings.xml><?xml version="1.0" encoding="utf-8"?>
<sst xmlns="http://schemas.openxmlformats.org/spreadsheetml/2006/main" count="298" uniqueCount="40">
  <si>
    <t>complete</t>
  </si>
  <si>
    <t>join_table</t>
  </si>
  <si>
    <t>status</t>
  </si>
  <si>
    <t>average_improvement</t>
  </si>
  <si>
    <t>average_total_token_input</t>
  </si>
  <si>
    <t>average_total_token_output</t>
  </si>
  <si>
    <t>average_total_duration_seconds</t>
  </si>
  <si>
    <t>Building Permits-Chicago</t>
  </si>
  <si>
    <t>ok</t>
  </si>
  <si>
    <t>COVID-Chicago</t>
  </si>
  <si>
    <t>COVID-NYC</t>
  </si>
  <si>
    <t>Demo-Chicago</t>
  </si>
  <si>
    <t>Demo-NYC</t>
  </si>
  <si>
    <t>Economic-Chicago</t>
  </si>
  <si>
    <t>Economic-NYC</t>
  </si>
  <si>
    <t>Education-Chicago</t>
  </si>
  <si>
    <t>Education-NYC</t>
  </si>
  <si>
    <t>Environment_NYC</t>
  </si>
  <si>
    <t>Food Inspections-Chicago</t>
  </si>
  <si>
    <t>Food Inspections-NYC</t>
  </si>
  <si>
    <t>augment</t>
  </si>
  <si>
    <t>log analysis and modification</t>
  </si>
  <si>
    <t>data quality</t>
  </si>
  <si>
    <t>table selection</t>
  </si>
  <si>
    <t>timeout</t>
  </si>
  <si>
    <t>average_improvement comapred to compelete study</t>
  </si>
  <si>
    <t>average_total_token_input comapred to compelete study</t>
  </si>
  <si>
    <t>average_total_token_output comapred to compelete study</t>
  </si>
  <si>
    <t>average_total_duration_seconds comapred to compelete study</t>
  </si>
  <si>
    <t>standard deviation</t>
  </si>
  <si>
    <t>qwen</t>
  </si>
  <si>
    <t>stdev_improvement</t>
  </si>
  <si>
    <t>improvement_ci_low</t>
  </si>
  <si>
    <t>improvement_ci_high</t>
  </si>
  <si>
    <t>mini</t>
  </si>
  <si>
    <t>stdev_total_token_input</t>
  </si>
  <si>
    <t>stdev_total_token_output</t>
  </si>
  <si>
    <t>stdev_total_duration_seconds</t>
  </si>
  <si>
    <t>failure</t>
  </si>
  <si>
    <t>4o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</si>
</sst>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_);[Red]\(0.0000\)"/>
  </numFmts>
  <fonts count="1" x14ac:knownFonts="1"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2" borderId="0" xfId="0" applyFill="1"/>
    <xf numFmtId="164" fontId="0" fillId="2" borderId="0" xfId="0" applyNumberFormat="1" applyFill="1" applyAlignment="1">
      <alignment horizontal="center" vertical="center"/>
    </xf>
    <xf numFmtId="164" fontId="0" fillId="2" borderId="0" xfId="0" quotePrefix="1" applyNumberFormat="1" applyFill="1" applyAlignment="1">
      <alignment horizontal="center" vertical="center"/>
    </xf>
    <xf numFmtId="164" fontId="0" fillId="2" borderId="0" xfId="0" applyNumberFormat="1" applyFill="1"/>
    <xf numFmtId="0" fontId="0" fillId="3" borderId="0" xfId="0" applyFill="1"/>
    <xf numFmtId="164" fontId="0" fillId="3" borderId="0" xfId="0" quotePrefix="1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4" borderId="0" xfId="0" applyFill="1"/>
    <xf numFmtId="164" fontId="0" fillId="4" borderId="0" xfId="0" quotePrefix="1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5" borderId="0" xfId="0" applyFill="1"/>
    <xf numFmtId="164" fontId="0" fillId="5" borderId="0" xfId="0" quotePrefix="1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5" fontId="0" fillId="0" borderId="0" xfId="0" applyNumberFormat="1"/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0" fillId="0" borderId="0" xfId="0" quotePrefix="1" applyNumberFormat="1"/>
    <xf numFmtId="164" fontId="0" fillId="0" borderId="0" xfId="0" applyNumberFormat="1"/>
    <xf numFmtId="0" fontId="0" fillId="0" borderId="0" xfId="0" applyAlignment="1">
      <alignment wrapText="1"/>
    </xf>
    <xf numFmtId="164" fontId="0" fillId="5" borderId="0" xfId="0" applyNumberFormat="1" applyFill="1"/>
    <xf numFmtId="0" fontId="0" fillId="6" borderId="0" xfId="0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25DB5-0DE2-354A-8499-A1A6897E1EFA}">
  <dimension ref="A1:O62"/>
  <sheetViews>
    <sheetView zoomScale="160" zoomScaleNormal="160" workbookViewId="0">
      <selection activeCell="I2" sqref="I2:I12"/>
    </sheetView>
  </sheetViews>
  <sheetFormatPr baseColWidth="10" defaultRowHeight="16" x14ac:dyDescent="0.2"/>
  <cols>
    <col min="2" max="2" width="26" customWidth="1"/>
    <col min="3" max="3" width="22.5" bestFit="1" customWidth="1"/>
    <col min="4" max="4" width="7.5" bestFit="1" customWidth="1"/>
    <col min="5" max="5" width="19.1640625" style="20" customWidth="1"/>
    <col min="6" max="6" width="16.33203125" style="20" customWidth="1"/>
    <col min="7" max="7" width="22.83203125" customWidth="1"/>
    <col min="8" max="8" width="24" customWidth="1"/>
    <col min="9" max="9" width="27.83203125" customWidth="1"/>
    <col min="10" max="10" width="19.1640625" style="15" customWidth="1"/>
    <col min="11" max="11" width="14.1640625" style="15" bestFit="1" customWidth="1"/>
    <col min="12" max="12" width="13.1640625" style="15" bestFit="1" customWidth="1"/>
    <col min="13" max="13" width="14.1640625" style="15" bestFit="1" customWidth="1"/>
  </cols>
  <sheetData>
    <row r="1" spans="1:15" x14ac:dyDescent="0.2">
      <c r="C1" t="s">
        <v>1</v>
      </c>
      <c r="D1" t="s">
        <v>2</v>
      </c>
      <c r="E1" s="20" t="s">
        <v>3</v>
      </c>
      <c r="F1" s="20" t="s">
        <v>29</v>
      </c>
      <c r="G1" t="s">
        <v>4</v>
      </c>
      <c r="H1" t="s">
        <v>5</v>
      </c>
      <c r="I1" t="s">
        <v>6</v>
      </c>
      <c r="J1"/>
      <c r="K1"/>
      <c r="L1"/>
      <c r="M1"/>
    </row>
    <row r="2" spans="1:15" x14ac:dyDescent="0.2">
      <c r="A2" t="s">
        <v>30</v>
      </c>
      <c r="B2" t="s">
        <v>0</v>
      </c>
      <c r="C2" t="s">
        <v>7</v>
      </c>
      <c r="D2" t="s">
        <v>8</v>
      </c>
      <c r="E2" s="22">
        <v>1.9580387356176399E-2</v>
      </c>
      <c r="F2" s="22">
        <v>1.21696076820027E-2</v>
      </c>
      <c r="G2" s="22">
        <v>600661.55555555504</v>
      </c>
      <c r="H2" s="22">
        <v>63854.888888888803</v>
      </c>
      <c r="I2" s="22">
        <v>5274.3956689958704</v>
      </c>
      <c r="J2" s="22"/>
      <c r="K2" s="22"/>
      <c r="L2" s="22"/>
      <c r="M2" s="22"/>
      <c r="N2" s="22"/>
    </row>
    <row r="3" spans="1:15" x14ac:dyDescent="0.2">
      <c r="B3" t="s">
        <v>0</v>
      </c>
      <c r="C3" t="s">
        <v>9</v>
      </c>
      <c r="D3" t="s">
        <v>8</v>
      </c>
      <c r="E3" s="22">
        <v>0.59396957812326301</v>
      </c>
      <c r="F3" s="22">
        <v>0.21605530968464801</v>
      </c>
      <c r="G3" s="23">
        <v>280943.25</v>
      </c>
      <c r="H3" s="23">
        <v>37213.125</v>
      </c>
      <c r="I3" s="22">
        <v>1464.8559244538101</v>
      </c>
      <c r="J3" s="22"/>
      <c r="K3" s="22"/>
      <c r="L3" s="22"/>
      <c r="M3" s="22"/>
      <c r="N3" s="22"/>
    </row>
    <row r="4" spans="1:15" x14ac:dyDescent="0.2">
      <c r="B4" t="s">
        <v>0</v>
      </c>
      <c r="C4" t="s">
        <v>10</v>
      </c>
      <c r="D4" t="s">
        <v>8</v>
      </c>
      <c r="E4" s="23">
        <v>5.9032475829134904E-3</v>
      </c>
      <c r="F4" s="23">
        <v>6.5469585476881599E-3</v>
      </c>
      <c r="G4" s="23">
        <v>177852.5</v>
      </c>
      <c r="H4" s="23">
        <v>49747.5</v>
      </c>
      <c r="I4" s="22">
        <v>3779.9445821004902</v>
      </c>
      <c r="J4" s="22"/>
      <c r="K4" s="22"/>
      <c r="L4" s="22"/>
      <c r="M4" s="22"/>
      <c r="N4" s="22"/>
    </row>
    <row r="5" spans="1:15" x14ac:dyDescent="0.2">
      <c r="B5" t="s">
        <v>0</v>
      </c>
      <c r="C5" t="s">
        <v>11</v>
      </c>
      <c r="D5" t="s">
        <v>8</v>
      </c>
      <c r="E5" s="22">
        <v>0.41960830519820302</v>
      </c>
      <c r="F5" s="22">
        <v>0.25389075452515197</v>
      </c>
      <c r="G5" s="22">
        <v>207807.777777777</v>
      </c>
      <c r="H5" s="22">
        <v>33242.555555555497</v>
      </c>
      <c r="I5" s="22">
        <v>1309.3567014779401</v>
      </c>
      <c r="J5" s="22"/>
      <c r="K5" s="22"/>
      <c r="L5" s="22"/>
      <c r="M5" s="22"/>
      <c r="N5" s="22"/>
    </row>
    <row r="6" spans="1:15" x14ac:dyDescent="0.2">
      <c r="B6" t="s">
        <v>0</v>
      </c>
      <c r="C6" t="s">
        <v>12</v>
      </c>
      <c r="D6" t="s">
        <v>8</v>
      </c>
      <c r="E6" s="22">
        <v>0.449172261281653</v>
      </c>
      <c r="F6" s="23">
        <v>3.3977082701124E-3</v>
      </c>
      <c r="G6" s="22">
        <v>136078.714285714</v>
      </c>
      <c r="H6" s="23">
        <v>25685</v>
      </c>
      <c r="I6" s="22">
        <v>1718.6647180047401</v>
      </c>
      <c r="J6" s="23"/>
      <c r="K6" s="22"/>
      <c r="L6" s="22"/>
      <c r="M6" s="22"/>
      <c r="N6" s="22"/>
    </row>
    <row r="7" spans="1:15" x14ac:dyDescent="0.2">
      <c r="B7" t="s">
        <v>0</v>
      </c>
      <c r="C7" t="s">
        <v>13</v>
      </c>
      <c r="D7" t="s">
        <v>8</v>
      </c>
      <c r="E7" s="22">
        <v>0.26594225096245699</v>
      </c>
      <c r="F7" s="22">
        <v>0.118678777802078</v>
      </c>
      <c r="G7" s="22">
        <v>204578.66666666599</v>
      </c>
      <c r="H7" s="22">
        <v>28294.666666666599</v>
      </c>
      <c r="I7" s="22">
        <v>1170.5561115882399</v>
      </c>
      <c r="J7" s="22"/>
      <c r="K7" s="22"/>
      <c r="L7" s="22"/>
      <c r="M7" s="22"/>
      <c r="N7" s="22"/>
    </row>
    <row r="8" spans="1:15" x14ac:dyDescent="0.2">
      <c r="B8" t="s">
        <v>0</v>
      </c>
      <c r="C8" t="s">
        <v>14</v>
      </c>
      <c r="D8" t="s">
        <v>8</v>
      </c>
      <c r="E8" s="22">
        <v>0.60253806563941004</v>
      </c>
      <c r="F8" s="23">
        <v>3.2441617991817599E-2</v>
      </c>
      <c r="G8" s="23">
        <v>164321.25</v>
      </c>
      <c r="H8" s="23">
        <v>26756</v>
      </c>
      <c r="I8" s="22">
        <v>1995.6825611588999</v>
      </c>
      <c r="J8" s="22"/>
      <c r="K8" s="22"/>
      <c r="L8" s="22"/>
      <c r="M8" s="22"/>
      <c r="N8" s="22"/>
    </row>
    <row r="9" spans="1:15" x14ac:dyDescent="0.2">
      <c r="B9" t="s">
        <v>0</v>
      </c>
      <c r="C9" t="s">
        <v>15</v>
      </c>
      <c r="D9" t="s">
        <v>8</v>
      </c>
      <c r="E9" s="22">
        <v>0.16436694626554199</v>
      </c>
      <c r="F9" s="22">
        <v>0.12365031918446399</v>
      </c>
      <c r="G9" s="23">
        <v>867363</v>
      </c>
      <c r="H9" s="22">
        <v>88928.111111111095</v>
      </c>
      <c r="I9" s="22">
        <v>3999.5328022158801</v>
      </c>
      <c r="J9" s="22"/>
      <c r="K9" s="22"/>
      <c r="L9" s="22"/>
      <c r="M9" s="22"/>
      <c r="N9" s="22"/>
    </row>
    <row r="10" spans="1:15" x14ac:dyDescent="0.2">
      <c r="B10" t="s">
        <v>0</v>
      </c>
      <c r="C10" t="s">
        <v>16</v>
      </c>
      <c r="D10" t="s">
        <v>8</v>
      </c>
      <c r="E10" s="22">
        <v>0.48915096370536698</v>
      </c>
      <c r="F10" s="22">
        <v>2.4308741405495701E-2</v>
      </c>
      <c r="G10" s="23">
        <v>122282.75</v>
      </c>
      <c r="H10" s="23">
        <v>37530.25</v>
      </c>
      <c r="I10" s="22">
        <v>2352.8820186371399</v>
      </c>
      <c r="J10" s="22"/>
      <c r="K10" s="22"/>
      <c r="L10" s="22"/>
      <c r="M10" s="22"/>
      <c r="N10" s="22"/>
    </row>
    <row r="11" spans="1:15" x14ac:dyDescent="0.2">
      <c r="B11" t="s">
        <v>0</v>
      </c>
      <c r="C11" t="s">
        <v>17</v>
      </c>
      <c r="D11" t="s">
        <v>8</v>
      </c>
      <c r="E11" s="23">
        <v>1.7183499654719501E-3</v>
      </c>
      <c r="F11" s="23">
        <v>1.3672603186195801E-3</v>
      </c>
      <c r="G11" s="22">
        <v>284264.66666666599</v>
      </c>
      <c r="H11" s="23">
        <v>65949</v>
      </c>
      <c r="I11" s="22">
        <v>5336.9725667197799</v>
      </c>
      <c r="J11" s="22"/>
      <c r="K11" s="22"/>
      <c r="L11" s="23"/>
      <c r="M11" s="22"/>
      <c r="N11" s="22"/>
    </row>
    <row r="12" spans="1:15" x14ac:dyDescent="0.2">
      <c r="B12" t="s">
        <v>0</v>
      </c>
      <c r="C12" t="s">
        <v>18</v>
      </c>
      <c r="D12" t="s">
        <v>8</v>
      </c>
      <c r="E12" s="23">
        <v>3.4820597156403799E-3</v>
      </c>
      <c r="F12" s="23">
        <v>9.4104305729527295E-3</v>
      </c>
      <c r="G12" s="23">
        <v>86449</v>
      </c>
      <c r="H12" s="22">
        <v>28757.333333333299</v>
      </c>
      <c r="I12" s="22">
        <v>2550.5245767030801</v>
      </c>
      <c r="J12" s="22"/>
      <c r="K12" s="22"/>
      <c r="L12" s="23"/>
      <c r="M12" s="22"/>
      <c r="N12" s="22"/>
    </row>
    <row r="13" spans="1:15" x14ac:dyDescent="0.2">
      <c r="B13" t="s">
        <v>0</v>
      </c>
      <c r="C13" t="s">
        <v>19</v>
      </c>
      <c r="D13" t="s">
        <v>24</v>
      </c>
      <c r="J13" s="1"/>
    </row>
    <row r="14" spans="1:15" ht="102" x14ac:dyDescent="0.2">
      <c r="J14" s="24" t="s">
        <v>25</v>
      </c>
      <c r="K14" s="24" t="s">
        <v>26</v>
      </c>
      <c r="L14" s="24" t="s">
        <v>27</v>
      </c>
      <c r="M14" s="24" t="s">
        <v>28</v>
      </c>
    </row>
    <row r="15" spans="1:15" s="2" customFormat="1" x14ac:dyDescent="0.2">
      <c r="B15" s="2" t="s">
        <v>21</v>
      </c>
      <c r="C15" s="2" t="s">
        <v>7</v>
      </c>
      <c r="D15" s="2" t="s">
        <v>8</v>
      </c>
      <c r="E15" s="3">
        <v>8.5213463144519601E-3</v>
      </c>
      <c r="F15" s="3">
        <v>5.8997371354786703E-3</v>
      </c>
      <c r="G15" s="4">
        <v>225329.22222222199</v>
      </c>
      <c r="H15" s="4">
        <v>25226.444444444402</v>
      </c>
      <c r="I15" s="4">
        <v>2052.9037598017599</v>
      </c>
      <c r="J15" s="16">
        <f>E15-E2</f>
        <v>-1.1059041041724438E-2</v>
      </c>
      <c r="K15" s="16">
        <f>G15-G2</f>
        <v>-375332.33333333302</v>
      </c>
      <c r="L15" s="16">
        <f>H15-H2</f>
        <v>-38628.444444444402</v>
      </c>
      <c r="M15" s="16">
        <f>I15-I2</f>
        <v>-3221.4919091941106</v>
      </c>
      <c r="N15" s="5"/>
      <c r="O15" s="5"/>
    </row>
    <row r="16" spans="1:15" s="2" customFormat="1" x14ac:dyDescent="0.2">
      <c r="B16" s="2" t="s">
        <v>21</v>
      </c>
      <c r="C16" s="2" t="s">
        <v>9</v>
      </c>
      <c r="D16" s="2" t="s">
        <v>8</v>
      </c>
      <c r="E16" s="4">
        <v>0.65445641594996196</v>
      </c>
      <c r="F16" s="4">
        <v>0.221043598568542</v>
      </c>
      <c r="G16" s="4">
        <v>345731.83333333302</v>
      </c>
      <c r="H16" s="4">
        <v>41274.166666666599</v>
      </c>
      <c r="I16" s="4">
        <v>1615.7480143963601</v>
      </c>
      <c r="J16" s="16">
        <f>E16-E3</f>
        <v>6.0486837826698947E-2</v>
      </c>
      <c r="K16" s="16">
        <f>G16-G3</f>
        <v>64788.583333333023</v>
      </c>
      <c r="L16" s="16">
        <f>H16-H3</f>
        <v>4061.0416666665988</v>
      </c>
      <c r="M16" s="16">
        <f>I16-I3</f>
        <v>150.89208994255</v>
      </c>
    </row>
    <row r="17" spans="2:13" s="2" customFormat="1" x14ac:dyDescent="0.2">
      <c r="B17" s="2" t="s">
        <v>21</v>
      </c>
      <c r="C17" s="2" t="s">
        <v>10</v>
      </c>
      <c r="D17" s="2" t="s">
        <v>8</v>
      </c>
      <c r="E17" s="4">
        <v>1.12758621054581E-2</v>
      </c>
      <c r="F17" s="4">
        <v>8.8035070344591199E-3</v>
      </c>
      <c r="G17" s="3">
        <v>153593.5</v>
      </c>
      <c r="H17" s="3">
        <v>30552.75</v>
      </c>
      <c r="I17" s="4">
        <v>3028.5332685825401</v>
      </c>
      <c r="J17" s="16">
        <f>E17-E4</f>
        <v>5.3726145225446095E-3</v>
      </c>
      <c r="K17" s="16">
        <f>G17-G4</f>
        <v>-24259</v>
      </c>
      <c r="L17" s="16">
        <f>H17-H4</f>
        <v>-19194.75</v>
      </c>
      <c r="M17" s="16">
        <f>I17-I4</f>
        <v>-751.41131351795002</v>
      </c>
    </row>
    <row r="18" spans="2:13" s="2" customFormat="1" x14ac:dyDescent="0.2">
      <c r="B18" s="2" t="s">
        <v>21</v>
      </c>
      <c r="C18" s="2" t="s">
        <v>11</v>
      </c>
      <c r="D18" s="2" t="s">
        <v>8</v>
      </c>
      <c r="E18" s="4">
        <v>0.452442185685269</v>
      </c>
      <c r="F18" s="4">
        <v>0.25528159481066898</v>
      </c>
      <c r="G18" s="3">
        <v>151146</v>
      </c>
      <c r="H18" s="4">
        <v>23899.777777777701</v>
      </c>
      <c r="I18" s="4">
        <v>935.07849810313803</v>
      </c>
      <c r="J18" s="16">
        <f>E18-E5</f>
        <v>3.2833880487065981E-2</v>
      </c>
      <c r="K18" s="16">
        <f>G18-G5</f>
        <v>-56661.777777776995</v>
      </c>
      <c r="L18" s="16">
        <f>H18-H5</f>
        <v>-9342.7777777777956</v>
      </c>
      <c r="M18" s="16">
        <f>I18-I5</f>
        <v>-374.27820337480205</v>
      </c>
    </row>
    <row r="19" spans="2:13" s="2" customFormat="1" x14ac:dyDescent="0.2">
      <c r="B19" s="2" t="s">
        <v>21</v>
      </c>
      <c r="C19" s="2" t="s">
        <v>12</v>
      </c>
      <c r="D19" s="2" t="s">
        <v>8</v>
      </c>
      <c r="E19" s="4">
        <v>0.43329139878432399</v>
      </c>
      <c r="F19" s="4">
        <v>5.2128477379899799E-2</v>
      </c>
      <c r="G19" s="4">
        <v>228034.777777777</v>
      </c>
      <c r="H19" s="4">
        <v>28906.5555555555</v>
      </c>
      <c r="I19" s="4">
        <v>1746.62584714839</v>
      </c>
      <c r="J19" s="16">
        <f>E19-E6</f>
        <v>-1.5880862497329007E-2</v>
      </c>
      <c r="K19" s="16">
        <f>G19-G6</f>
        <v>91956.063492062996</v>
      </c>
      <c r="L19" s="16">
        <f>H19-H6</f>
        <v>3221.5555555555002</v>
      </c>
      <c r="M19" s="16">
        <f>I19-I6</f>
        <v>27.961129143649941</v>
      </c>
    </row>
    <row r="20" spans="2:13" s="2" customFormat="1" x14ac:dyDescent="0.2">
      <c r="B20" s="2" t="s">
        <v>21</v>
      </c>
      <c r="C20" s="2" t="s">
        <v>13</v>
      </c>
      <c r="D20" s="2" t="s">
        <v>8</v>
      </c>
      <c r="E20" s="4">
        <v>0.17022545768255501</v>
      </c>
      <c r="F20" s="4">
        <v>0.14167970414169101</v>
      </c>
      <c r="G20" s="3">
        <v>196343</v>
      </c>
      <c r="H20" s="4">
        <v>24998.777777777701</v>
      </c>
      <c r="I20" s="4">
        <v>1037.8416360490401</v>
      </c>
      <c r="J20" s="16">
        <f>E20-E7</f>
        <v>-9.5716793279901985E-2</v>
      </c>
      <c r="K20" s="16">
        <f>G20-G7</f>
        <v>-8235.6666666659876</v>
      </c>
      <c r="L20" s="16">
        <f>H20-H7</f>
        <v>-3295.8888888888978</v>
      </c>
      <c r="M20" s="16">
        <f>I20-I7</f>
        <v>-132.71447553919984</v>
      </c>
    </row>
    <row r="21" spans="2:13" s="2" customFormat="1" ht="15" customHeight="1" x14ac:dyDescent="0.2">
      <c r="B21" s="2" t="s">
        <v>21</v>
      </c>
      <c r="C21" s="2" t="s">
        <v>14</v>
      </c>
      <c r="D21" s="2" t="s">
        <v>8</v>
      </c>
      <c r="E21" s="4">
        <v>0.54063999086457204</v>
      </c>
      <c r="F21" s="4">
        <v>0.201076786108939</v>
      </c>
      <c r="G21" s="4">
        <v>169224.888888888</v>
      </c>
      <c r="H21" s="4">
        <v>27989.777777777701</v>
      </c>
      <c r="I21" s="4">
        <v>2083.192217582</v>
      </c>
      <c r="J21" s="16">
        <f>E21-E8</f>
        <v>-6.1898074774837997E-2</v>
      </c>
      <c r="K21" s="16">
        <f>G21-G8</f>
        <v>4903.6388888880028</v>
      </c>
      <c r="L21" s="16">
        <f>H21-H8</f>
        <v>1233.777777777701</v>
      </c>
      <c r="M21" s="16">
        <f>I21-I8</f>
        <v>87.509656423100068</v>
      </c>
    </row>
    <row r="22" spans="2:13" s="2" customFormat="1" x14ac:dyDescent="0.2">
      <c r="B22" s="2" t="s">
        <v>21</v>
      </c>
      <c r="C22" s="2" t="s">
        <v>15</v>
      </c>
      <c r="D22" s="2" t="s">
        <v>8</v>
      </c>
      <c r="E22" s="4">
        <v>0.176518115809775</v>
      </c>
      <c r="F22" s="4">
        <v>0.101080021965694</v>
      </c>
      <c r="G22" s="4">
        <v>247609.888888888</v>
      </c>
      <c r="H22" s="4">
        <v>27306.333333333299</v>
      </c>
      <c r="I22" s="4">
        <v>1326.8990918279901</v>
      </c>
      <c r="J22" s="16">
        <f>E22-E9</f>
        <v>1.2151169544233009E-2</v>
      </c>
      <c r="K22" s="16">
        <f>G22-G9</f>
        <v>-619753.11111111194</v>
      </c>
      <c r="L22" s="16">
        <f>H22-H9</f>
        <v>-61621.777777777796</v>
      </c>
      <c r="M22" s="16">
        <f>I22-I9</f>
        <v>-2672.63371038789</v>
      </c>
    </row>
    <row r="23" spans="2:13" s="2" customFormat="1" x14ac:dyDescent="0.2">
      <c r="B23" s="2" t="s">
        <v>21</v>
      </c>
      <c r="C23" s="2" t="s">
        <v>16</v>
      </c>
      <c r="D23" s="2" t="s">
        <v>8</v>
      </c>
      <c r="E23" s="4">
        <v>0.51600732341384903</v>
      </c>
      <c r="F23" s="4">
        <v>4.0319154526329899E-2</v>
      </c>
      <c r="G23" s="3">
        <v>183018.5</v>
      </c>
      <c r="H23" s="3">
        <v>44000.5</v>
      </c>
      <c r="I23" s="4">
        <v>2561.1827935241099</v>
      </c>
      <c r="J23" s="16">
        <f>E23-E10</f>
        <v>2.6856359708482047E-2</v>
      </c>
      <c r="K23" s="16">
        <f>G23-G10</f>
        <v>60735.75</v>
      </c>
      <c r="L23" s="16">
        <f>H23-H10</f>
        <v>6470.25</v>
      </c>
      <c r="M23" s="16">
        <f>I23-I10</f>
        <v>208.30077488696998</v>
      </c>
    </row>
    <row r="24" spans="2:13" s="2" customFormat="1" x14ac:dyDescent="0.2">
      <c r="B24" s="2" t="s">
        <v>21</v>
      </c>
      <c r="C24" s="2" t="s">
        <v>17</v>
      </c>
      <c r="D24" s="2" t="s">
        <v>8</v>
      </c>
      <c r="E24" s="3">
        <v>1.24676744222297E-3</v>
      </c>
      <c r="F24" s="3">
        <v>1.2537869222156901E-3</v>
      </c>
      <c r="G24" s="4">
        <v>96167.666666666599</v>
      </c>
      <c r="H24" s="4">
        <v>21380.5555555555</v>
      </c>
      <c r="I24" s="4">
        <v>1855.02422419086</v>
      </c>
      <c r="J24" s="16">
        <f>E24-E11</f>
        <v>-4.7158252324898007E-4</v>
      </c>
      <c r="K24" s="16">
        <f>G24-G11</f>
        <v>-188096.99999999939</v>
      </c>
      <c r="L24" s="16">
        <f>H24-H11</f>
        <v>-44568.444444444496</v>
      </c>
      <c r="M24" s="16">
        <f>I24-I11</f>
        <v>-3481.94834252892</v>
      </c>
    </row>
    <row r="25" spans="2:13" s="2" customFormat="1" x14ac:dyDescent="0.2">
      <c r="B25" s="2" t="s">
        <v>21</v>
      </c>
      <c r="C25" s="2" t="s">
        <v>18</v>
      </c>
      <c r="D25" s="2" t="s">
        <v>8</v>
      </c>
      <c r="E25" s="3">
        <v>3.5101916152813798E-3</v>
      </c>
      <c r="F25" s="3">
        <v>9.2734406018495294E-3</v>
      </c>
      <c r="G25" s="4">
        <v>42154.111111111102</v>
      </c>
      <c r="H25" s="4">
        <v>11439.5555555555</v>
      </c>
      <c r="I25" s="4">
        <v>1095.4495689862699</v>
      </c>
      <c r="J25" s="16">
        <f>E25-E12</f>
        <v>2.8131899640999967E-5</v>
      </c>
      <c r="K25" s="16">
        <f>G25-G12</f>
        <v>-44294.888888888898</v>
      </c>
      <c r="L25" s="16">
        <f>H25-H12</f>
        <v>-17317.777777777799</v>
      </c>
      <c r="M25" s="16">
        <f>I25-I12</f>
        <v>-1455.0750077168102</v>
      </c>
    </row>
    <row r="26" spans="2:13" s="2" customFormat="1" x14ac:dyDescent="0.2">
      <c r="B26" s="2" t="s">
        <v>21</v>
      </c>
      <c r="C26" s="2" t="s">
        <v>19</v>
      </c>
      <c r="D26" s="2" t="s">
        <v>24</v>
      </c>
      <c r="E26" s="3"/>
      <c r="F26" s="3"/>
      <c r="G26" s="3"/>
      <c r="H26" s="3"/>
      <c r="I26" s="4"/>
      <c r="J26" s="16"/>
      <c r="K26" s="16"/>
      <c r="L26" s="16"/>
      <c r="M26" s="16"/>
    </row>
    <row r="27" spans="2:13" s="6" customFormat="1" x14ac:dyDescent="0.2">
      <c r="B27" s="6" t="s">
        <v>20</v>
      </c>
      <c r="C27" s="6" t="s">
        <v>7</v>
      </c>
      <c r="D27" s="6" t="s">
        <v>8</v>
      </c>
      <c r="E27" s="8">
        <v>6.2825382541903799E-2</v>
      </c>
      <c r="F27" s="8">
        <v>2.1817312792303699E-3</v>
      </c>
      <c r="G27" s="8">
        <v>789000.5</v>
      </c>
      <c r="H27" s="8">
        <v>59468</v>
      </c>
      <c r="I27" s="7">
        <v>5371.0907190581702</v>
      </c>
      <c r="J27" s="17">
        <f>E27-E2</f>
        <v>4.32449951857274E-2</v>
      </c>
      <c r="K27" s="17">
        <f>G27-G2</f>
        <v>188338.94444444496</v>
      </c>
      <c r="L27" s="17">
        <f>H27-H2</f>
        <v>-4386.8888888888032</v>
      </c>
      <c r="M27" s="17">
        <f>I27-I2</f>
        <v>96.695050062299742</v>
      </c>
    </row>
    <row r="28" spans="2:13" s="6" customFormat="1" x14ac:dyDescent="0.2">
      <c r="B28" s="6" t="s">
        <v>20</v>
      </c>
      <c r="C28" s="6" t="s">
        <v>9</v>
      </c>
      <c r="D28" s="6" t="s">
        <v>8</v>
      </c>
      <c r="E28" s="7">
        <v>0.51308656106277395</v>
      </c>
      <c r="F28" s="7">
        <v>0.30036146110977302</v>
      </c>
      <c r="G28" s="7">
        <v>323405.57142857101</v>
      </c>
      <c r="H28" s="7">
        <v>41659.571428571398</v>
      </c>
      <c r="I28" s="7">
        <v>1453.55072644352</v>
      </c>
      <c r="J28" s="17">
        <f>E28-E3</f>
        <v>-8.088301706048906E-2</v>
      </c>
      <c r="K28" s="17">
        <f>G28-G3</f>
        <v>42462.321428571013</v>
      </c>
      <c r="L28" s="17">
        <f>H28-H3</f>
        <v>4446.4464285713984</v>
      </c>
      <c r="M28" s="17">
        <f>I28-I3</f>
        <v>-11.305198010290042</v>
      </c>
    </row>
    <row r="29" spans="2:13" s="6" customFormat="1" x14ac:dyDescent="0.2">
      <c r="B29" s="6" t="s">
        <v>20</v>
      </c>
      <c r="C29" s="6" t="s">
        <v>10</v>
      </c>
      <c r="D29" s="6" t="s">
        <v>8</v>
      </c>
      <c r="E29" s="7">
        <v>1.6450406870531401E-2</v>
      </c>
      <c r="F29" s="7">
        <v>7.9374092722241697E-3</v>
      </c>
      <c r="G29" s="8">
        <v>138675.6</v>
      </c>
      <c r="H29" s="8">
        <v>45192.6</v>
      </c>
      <c r="I29" s="7">
        <v>4466.6338603682798</v>
      </c>
      <c r="J29" s="17">
        <f>E29-E4</f>
        <v>1.0547159287617911E-2</v>
      </c>
      <c r="K29" s="17">
        <f>G29-G4</f>
        <v>-39176.899999999994</v>
      </c>
      <c r="L29" s="17">
        <f>H29-H4</f>
        <v>-4554.9000000000015</v>
      </c>
      <c r="M29" s="17">
        <f>I29-I4</f>
        <v>686.68927826778963</v>
      </c>
    </row>
    <row r="30" spans="2:13" s="6" customFormat="1" x14ac:dyDescent="0.2">
      <c r="B30" s="6" t="s">
        <v>20</v>
      </c>
      <c r="C30" s="6" t="s">
        <v>11</v>
      </c>
      <c r="D30" s="6" t="s">
        <v>8</v>
      </c>
      <c r="E30" s="8">
        <v>-7.4167279218514697</v>
      </c>
      <c r="F30" s="8">
        <v>22.7810064781563</v>
      </c>
      <c r="G30" s="7">
        <v>201691.444444444</v>
      </c>
      <c r="H30" s="7">
        <v>27771.111111111099</v>
      </c>
      <c r="I30" s="7">
        <v>1099.8042045161101</v>
      </c>
      <c r="J30" s="17">
        <f>E30-E5</f>
        <v>-7.8363362270496726</v>
      </c>
      <c r="K30" s="17">
        <f>G30-G5</f>
        <v>-6116.3333333329938</v>
      </c>
      <c r="L30" s="17">
        <f>H30-H5</f>
        <v>-5471.444444444398</v>
      </c>
      <c r="M30" s="17">
        <f>I30-I5</f>
        <v>-209.55249696183</v>
      </c>
    </row>
    <row r="31" spans="2:13" s="6" customFormat="1" x14ac:dyDescent="0.2">
      <c r="B31" s="6" t="s">
        <v>20</v>
      </c>
      <c r="C31" s="6" t="s">
        <v>12</v>
      </c>
      <c r="D31" s="6" t="s">
        <v>8</v>
      </c>
      <c r="E31" s="7">
        <v>0.46646331421987902</v>
      </c>
      <c r="F31" s="7">
        <v>4.6358517218890102E-3</v>
      </c>
      <c r="G31" s="8">
        <v>206769</v>
      </c>
      <c r="H31" s="8">
        <v>24098.125</v>
      </c>
      <c r="I31" s="7">
        <v>1628.92647101497</v>
      </c>
      <c r="J31" s="17">
        <f>E31-E6</f>
        <v>1.7291052938226026E-2</v>
      </c>
      <c r="K31" s="17">
        <f>G31-G6</f>
        <v>70690.285714286001</v>
      </c>
      <c r="L31" s="17">
        <f>H31-H6</f>
        <v>-1586.875</v>
      </c>
      <c r="M31" s="17">
        <f>I31-I6</f>
        <v>-89.738246989770005</v>
      </c>
    </row>
    <row r="32" spans="2:13" s="6" customFormat="1" x14ac:dyDescent="0.2">
      <c r="B32" s="6" t="s">
        <v>20</v>
      </c>
      <c r="C32" s="6" t="s">
        <v>13</v>
      </c>
      <c r="D32" s="6" t="s">
        <v>8</v>
      </c>
      <c r="E32" s="7">
        <v>0.19209914996980701</v>
      </c>
      <c r="F32" s="7">
        <v>0.196020456847352</v>
      </c>
      <c r="G32" s="7">
        <v>261526.22222222199</v>
      </c>
      <c r="H32" s="7">
        <v>37998.444444444402</v>
      </c>
      <c r="I32" s="7">
        <v>1718.8138503877201</v>
      </c>
      <c r="J32" s="17">
        <f>E32-E7</f>
        <v>-7.3843100992649985E-2</v>
      </c>
      <c r="K32" s="17">
        <f>G32-G7</f>
        <v>56947.555555555999</v>
      </c>
      <c r="L32" s="17">
        <f>H32-H7</f>
        <v>9703.7777777778028</v>
      </c>
      <c r="M32" s="17">
        <f>I32-I7</f>
        <v>548.25773879948019</v>
      </c>
    </row>
    <row r="33" spans="2:15" s="6" customFormat="1" x14ac:dyDescent="0.2">
      <c r="B33" s="6" t="s">
        <v>20</v>
      </c>
      <c r="C33" s="6" t="s">
        <v>14</v>
      </c>
      <c r="D33" s="6" t="s">
        <v>8</v>
      </c>
      <c r="E33" s="7">
        <v>0.49651571759277502</v>
      </c>
      <c r="F33" s="7">
        <v>1.21731781396876E-2</v>
      </c>
      <c r="G33" s="8">
        <v>172854.625</v>
      </c>
      <c r="H33" s="8">
        <v>22562.375</v>
      </c>
      <c r="I33" s="7">
        <v>2148.9723569913699</v>
      </c>
      <c r="J33" s="17">
        <f>E33-E8</f>
        <v>-0.10602234804663502</v>
      </c>
      <c r="K33" s="17">
        <f>G33-G8</f>
        <v>8533.375</v>
      </c>
      <c r="L33" s="17">
        <f>H33-H8</f>
        <v>-4193.625</v>
      </c>
      <c r="M33" s="17">
        <f>I33-I8</f>
        <v>153.28979583246996</v>
      </c>
    </row>
    <row r="34" spans="2:15" s="6" customFormat="1" x14ac:dyDescent="0.2">
      <c r="B34" s="6" t="s">
        <v>20</v>
      </c>
      <c r="C34" s="6" t="s">
        <v>15</v>
      </c>
      <c r="D34" s="6" t="s">
        <v>8</v>
      </c>
      <c r="E34" s="7">
        <v>0.24900002302653901</v>
      </c>
      <c r="F34" s="7">
        <v>0.10769490087159</v>
      </c>
      <c r="G34" s="8">
        <v>708931</v>
      </c>
      <c r="H34" s="7">
        <v>78522.111111111095</v>
      </c>
      <c r="I34" s="7">
        <v>3795.93097954222</v>
      </c>
      <c r="J34" s="17">
        <f>E34-E9</f>
        <v>8.4633076760997017E-2</v>
      </c>
      <c r="K34" s="17">
        <f>G34-G9</f>
        <v>-158432</v>
      </c>
      <c r="L34" s="17">
        <f>H34-H9</f>
        <v>-10406</v>
      </c>
      <c r="M34" s="17">
        <f>I34-I9</f>
        <v>-203.60182267366008</v>
      </c>
    </row>
    <row r="35" spans="2:15" s="6" customFormat="1" x14ac:dyDescent="0.2">
      <c r="B35" s="6" t="s">
        <v>20</v>
      </c>
      <c r="C35" s="6" t="s">
        <v>16</v>
      </c>
      <c r="D35" s="6" t="s">
        <v>8</v>
      </c>
      <c r="E35" s="7">
        <v>0.57676227926338897</v>
      </c>
      <c r="F35" s="7">
        <v>5.3377484844226802E-2</v>
      </c>
      <c r="G35" s="7">
        <v>202800.33333333299</v>
      </c>
      <c r="H35" s="8">
        <v>39394</v>
      </c>
      <c r="I35" s="7">
        <v>2454.7748564416502</v>
      </c>
      <c r="J35" s="17">
        <f>E35-E10</f>
        <v>8.7611315558021985E-2</v>
      </c>
      <c r="K35" s="17">
        <f>G35-G10</f>
        <v>80517.583333332994</v>
      </c>
      <c r="L35" s="17">
        <f>H35-H10</f>
        <v>1863.75</v>
      </c>
      <c r="M35" s="17">
        <f>I35-I10</f>
        <v>101.89283780451024</v>
      </c>
    </row>
    <row r="36" spans="2:15" s="6" customFormat="1" x14ac:dyDescent="0.2">
      <c r="B36" s="6" t="s">
        <v>20</v>
      </c>
      <c r="C36" s="6" t="s">
        <v>17</v>
      </c>
      <c r="D36" s="6" t="s">
        <v>8</v>
      </c>
      <c r="E36" s="7">
        <v>0.1082</v>
      </c>
      <c r="F36" s="7">
        <v>3.7900000000000003E-2</v>
      </c>
      <c r="G36" s="7">
        <v>156266.777777777</v>
      </c>
      <c r="H36" s="7">
        <v>43810.606523357303</v>
      </c>
      <c r="I36" s="7">
        <v>40366.666666666599</v>
      </c>
      <c r="J36" s="17">
        <f>E36-E11</f>
        <v>0.10648165003452806</v>
      </c>
      <c r="K36" s="17">
        <f>G36-G11</f>
        <v>-127997.88888888899</v>
      </c>
      <c r="L36" s="17">
        <f>G36-G11</f>
        <v>-127997.88888888899</v>
      </c>
      <c r="M36" s="17">
        <f>H36-H11</f>
        <v>-22138.393476642697</v>
      </c>
      <c r="N36" s="7"/>
      <c r="O36" s="7"/>
    </row>
    <row r="37" spans="2:15" s="6" customFormat="1" x14ac:dyDescent="0.2">
      <c r="B37" s="6" t="s">
        <v>20</v>
      </c>
      <c r="C37" s="6" t="s">
        <v>18</v>
      </c>
      <c r="D37" s="6" t="s">
        <v>8</v>
      </c>
      <c r="E37" s="7">
        <v>0.221093426862042</v>
      </c>
      <c r="F37" s="7">
        <v>4.3979237009623799E-2</v>
      </c>
      <c r="G37" s="7">
        <v>80419.777777777694</v>
      </c>
      <c r="H37" s="7">
        <v>27873.333333333299</v>
      </c>
      <c r="I37" s="7">
        <v>2964.69092827145</v>
      </c>
      <c r="J37" s="17">
        <f>E37-E12</f>
        <v>0.21761136714640161</v>
      </c>
      <c r="K37" s="17">
        <f>G37-G12</f>
        <v>-6029.2222222223063</v>
      </c>
      <c r="L37" s="17">
        <f>H37-H12</f>
        <v>-884</v>
      </c>
      <c r="M37" s="17">
        <f>I37-I12</f>
        <v>414.16635156836992</v>
      </c>
    </row>
    <row r="38" spans="2:15" s="6" customFormat="1" x14ac:dyDescent="0.2">
      <c r="B38" s="6" t="s">
        <v>20</v>
      </c>
      <c r="C38" s="6" t="s">
        <v>19</v>
      </c>
      <c r="D38" s="6" t="s">
        <v>24</v>
      </c>
      <c r="E38" s="8"/>
      <c r="F38" s="8"/>
      <c r="G38" s="8"/>
      <c r="H38" s="8"/>
      <c r="I38" s="8"/>
      <c r="J38" s="17"/>
      <c r="K38" s="17"/>
      <c r="L38" s="17"/>
      <c r="M38" s="17"/>
    </row>
    <row r="39" spans="2:15" s="9" customFormat="1" x14ac:dyDescent="0.2">
      <c r="B39" s="9" t="s">
        <v>22</v>
      </c>
      <c r="C39" s="9" t="s">
        <v>7</v>
      </c>
      <c r="D39" s="9" t="s">
        <v>8</v>
      </c>
      <c r="E39" s="10">
        <v>1.5911701376982501E-2</v>
      </c>
      <c r="F39" s="10">
        <v>1.12538147744159E-2</v>
      </c>
      <c r="G39" s="10">
        <v>476473.14285714203</v>
      </c>
      <c r="H39" s="10">
        <v>41973.4285714285</v>
      </c>
      <c r="I39" s="10">
        <v>6024.2293202296896</v>
      </c>
      <c r="J39" s="18">
        <f>E39-E2</f>
        <v>-3.6686859791938975E-3</v>
      </c>
      <c r="K39" s="18">
        <f>G39-G2</f>
        <v>-124188.41269841301</v>
      </c>
      <c r="L39" s="18">
        <f>H39-H2</f>
        <v>-21881.460317460303</v>
      </c>
      <c r="M39" s="18">
        <f>I39-I2</f>
        <v>749.83365123381918</v>
      </c>
    </row>
    <row r="40" spans="2:15" s="9" customFormat="1" x14ac:dyDescent="0.2">
      <c r="B40" s="9" t="s">
        <v>22</v>
      </c>
      <c r="C40" s="9" t="s">
        <v>9</v>
      </c>
      <c r="D40" s="9" t="s">
        <v>8</v>
      </c>
      <c r="E40" s="10">
        <v>0.67626668611018403</v>
      </c>
      <c r="F40" s="10">
        <v>0.25011134483864</v>
      </c>
      <c r="G40" s="10">
        <v>251114.57142857101</v>
      </c>
      <c r="H40" s="10">
        <v>18344.571428571398</v>
      </c>
      <c r="I40" s="11">
        <v>837.38186147702595</v>
      </c>
      <c r="J40" s="18">
        <f>E40-E3</f>
        <v>8.2297107986921025E-2</v>
      </c>
      <c r="K40" s="18">
        <f>G40-G3</f>
        <v>-29828.678571428987</v>
      </c>
      <c r="L40" s="18">
        <f>H40-H3</f>
        <v>-18868.553571428602</v>
      </c>
      <c r="M40" s="18">
        <f>I40-I3</f>
        <v>-627.47406297678413</v>
      </c>
    </row>
    <row r="41" spans="2:15" s="9" customFormat="1" x14ac:dyDescent="0.2">
      <c r="B41" s="9" t="s">
        <v>22</v>
      </c>
      <c r="C41" s="9" t="s">
        <v>10</v>
      </c>
      <c r="D41" s="9" t="s">
        <v>8</v>
      </c>
      <c r="E41" s="10">
        <v>1.7499684419224299E-2</v>
      </c>
      <c r="F41" s="10">
        <v>1.52642135505132E-2</v>
      </c>
      <c r="G41" s="10">
        <v>160265.66666666599</v>
      </c>
      <c r="H41" s="10">
        <v>39798.666666666599</v>
      </c>
      <c r="I41" s="10">
        <v>5130.7975537354696</v>
      </c>
      <c r="J41" s="18">
        <f>E41-E4</f>
        <v>1.1596436836310809E-2</v>
      </c>
      <c r="K41" s="18">
        <f>G41-G4</f>
        <v>-17586.833333334012</v>
      </c>
      <c r="L41" s="18">
        <f>H41-H4</f>
        <v>-9948.8333333334012</v>
      </c>
      <c r="M41" s="18">
        <f>I41-I4</f>
        <v>1350.8529716349794</v>
      </c>
    </row>
    <row r="42" spans="2:15" s="9" customFormat="1" x14ac:dyDescent="0.2">
      <c r="B42" s="9" t="s">
        <v>22</v>
      </c>
      <c r="C42" s="9" t="s">
        <v>11</v>
      </c>
      <c r="D42" s="9" t="s">
        <v>8</v>
      </c>
      <c r="E42" s="10">
        <v>0.50815729763053397</v>
      </c>
      <c r="F42" s="10">
        <v>0.23408400927370701</v>
      </c>
      <c r="G42" s="11">
        <v>51757.875</v>
      </c>
      <c r="H42" s="11">
        <v>11006.625</v>
      </c>
      <c r="I42" s="10">
        <v>466.83456404390699</v>
      </c>
      <c r="J42" s="18">
        <f>E42-E5</f>
        <v>8.8548992432330942E-2</v>
      </c>
      <c r="K42" s="18">
        <f>G42-G5</f>
        <v>-156049.902777777</v>
      </c>
      <c r="L42" s="18">
        <f>H42-H5</f>
        <v>-22235.930555555497</v>
      </c>
      <c r="M42" s="18">
        <f>I42-I5</f>
        <v>-842.52213743403308</v>
      </c>
    </row>
    <row r="43" spans="2:15" s="9" customFormat="1" x14ac:dyDescent="0.2">
      <c r="B43" s="9" t="s">
        <v>22</v>
      </c>
      <c r="C43" s="9" t="s">
        <v>12</v>
      </c>
      <c r="D43" s="9" t="s">
        <v>8</v>
      </c>
      <c r="E43" s="10">
        <v>0.38189005667558001</v>
      </c>
      <c r="F43" s="10">
        <v>0.15213524984691901</v>
      </c>
      <c r="G43" s="10">
        <v>177515.444444444</v>
      </c>
      <c r="H43" s="10">
        <v>22761.111111111099</v>
      </c>
      <c r="I43" s="10">
        <v>1614.48025670006</v>
      </c>
      <c r="J43" s="18">
        <f>E43-E6</f>
        <v>-6.7282204606072982E-2</v>
      </c>
      <c r="K43" s="18">
        <f>G43-G6</f>
        <v>41436.730158730003</v>
      </c>
      <c r="L43" s="18">
        <f>H43-H6</f>
        <v>-2923.8888888889014</v>
      </c>
      <c r="M43" s="18">
        <f>I43-I6</f>
        <v>-104.1844613046801</v>
      </c>
    </row>
    <row r="44" spans="2:15" s="9" customFormat="1" x14ac:dyDescent="0.2">
      <c r="B44" s="9" t="s">
        <v>22</v>
      </c>
      <c r="C44" s="9" t="s">
        <v>13</v>
      </c>
      <c r="D44" s="9" t="s">
        <v>8</v>
      </c>
      <c r="E44" s="10">
        <v>0.26670972999718201</v>
      </c>
      <c r="F44" s="10">
        <v>0.11803191446745299</v>
      </c>
      <c r="G44" s="11">
        <v>235201</v>
      </c>
      <c r="H44" s="11">
        <v>21650.75</v>
      </c>
      <c r="I44" s="10">
        <v>976.39694512798405</v>
      </c>
      <c r="J44" s="18">
        <f>E44-E7</f>
        <v>7.67479034725016E-4</v>
      </c>
      <c r="K44" s="18">
        <f>G44-G7</f>
        <v>30622.333333334012</v>
      </c>
      <c r="L44" s="18">
        <f>H44-H7</f>
        <v>-6643.9166666665988</v>
      </c>
      <c r="M44" s="18">
        <f>I44-I7</f>
        <v>-194.15916646025585</v>
      </c>
    </row>
    <row r="45" spans="2:15" s="9" customFormat="1" x14ac:dyDescent="0.2">
      <c r="B45" s="9" t="s">
        <v>22</v>
      </c>
      <c r="C45" s="9" t="s">
        <v>14</v>
      </c>
      <c r="D45" s="9" t="s">
        <v>8</v>
      </c>
      <c r="E45" s="10">
        <v>0.61400790967674901</v>
      </c>
      <c r="F45" s="10">
        <v>0</v>
      </c>
      <c r="G45" s="11">
        <v>207965.875</v>
      </c>
      <c r="H45" s="11">
        <v>24024.875</v>
      </c>
      <c r="I45" s="10">
        <v>1797.46413643797</v>
      </c>
      <c r="J45" s="18">
        <f>E45-E8</f>
        <v>1.1469844037338972E-2</v>
      </c>
      <c r="K45" s="18">
        <f>G45-G8</f>
        <v>43644.625</v>
      </c>
      <c r="L45" s="18">
        <f>H45-H8</f>
        <v>-2731.125</v>
      </c>
      <c r="M45" s="18">
        <f>I45-I8</f>
        <v>-198.21842472092999</v>
      </c>
    </row>
    <row r="46" spans="2:15" s="9" customFormat="1" x14ac:dyDescent="0.2">
      <c r="B46" s="9" t="s">
        <v>22</v>
      </c>
      <c r="C46" s="9" t="s">
        <v>15</v>
      </c>
      <c r="D46" s="9" t="s">
        <v>8</v>
      </c>
      <c r="E46" s="10">
        <v>0.177042650872545</v>
      </c>
      <c r="F46" s="10">
        <v>0.100488548404466</v>
      </c>
      <c r="G46" s="10">
        <v>634265.77777777705</v>
      </c>
      <c r="H46" s="10">
        <v>45597.888888888803</v>
      </c>
      <c r="I46" s="10">
        <v>3292.9694247146399</v>
      </c>
      <c r="J46" s="18">
        <f>E46-E9</f>
        <v>1.2675704607003013E-2</v>
      </c>
      <c r="K46" s="18">
        <f>G46-G9</f>
        <v>-233097.22222222295</v>
      </c>
      <c r="L46" s="18">
        <f>H46-H9</f>
        <v>-43330.222222222292</v>
      </c>
      <c r="M46" s="18">
        <f>I46-I9</f>
        <v>-706.56337750124021</v>
      </c>
    </row>
    <row r="47" spans="2:15" s="9" customFormat="1" x14ac:dyDescent="0.2">
      <c r="B47" s="9" t="s">
        <v>22</v>
      </c>
      <c r="C47" s="9" t="s">
        <v>16</v>
      </c>
      <c r="D47" s="9" t="s">
        <v>8</v>
      </c>
      <c r="E47" s="10">
        <v>0.49053143756395501</v>
      </c>
      <c r="F47" s="10">
        <v>3.27319910651023E-2</v>
      </c>
      <c r="G47" s="11">
        <v>128818</v>
      </c>
      <c r="H47" s="11">
        <v>28262</v>
      </c>
      <c r="I47" s="10">
        <v>1908.8729496743099</v>
      </c>
      <c r="J47" s="18">
        <f>E47-E10</f>
        <v>1.3804738585880272E-3</v>
      </c>
      <c r="K47" s="18">
        <f>G47-G10</f>
        <v>6535.25</v>
      </c>
      <c r="L47" s="18">
        <f>H47-H10</f>
        <v>-9268.25</v>
      </c>
      <c r="M47" s="18">
        <f>I47-I10</f>
        <v>-444.00906896283004</v>
      </c>
    </row>
    <row r="48" spans="2:15" s="9" customFormat="1" x14ac:dyDescent="0.2">
      <c r="B48" s="9" t="s">
        <v>22</v>
      </c>
      <c r="C48" s="9" t="s">
        <v>17</v>
      </c>
      <c r="D48" s="9" t="s">
        <v>8</v>
      </c>
      <c r="E48" s="11">
        <v>9.5476598262069001E-2</v>
      </c>
      <c r="F48" s="11">
        <v>5.02469730316807E-2</v>
      </c>
      <c r="G48" s="10">
        <v>308719.777777777</v>
      </c>
      <c r="H48" s="10">
        <v>49016.111111111102</v>
      </c>
      <c r="I48" s="10">
        <v>5255.8063528605999</v>
      </c>
      <c r="J48" s="18">
        <f>E48-E11</f>
        <v>9.3758248296597055E-2</v>
      </c>
      <c r="K48" s="18">
        <f>G48-G11</f>
        <v>24455.111111111008</v>
      </c>
      <c r="L48" s="18">
        <f>H48-H11</f>
        <v>-16932.888888888898</v>
      </c>
      <c r="M48" s="18">
        <f>I48-I11</f>
        <v>-81.166213859180061</v>
      </c>
    </row>
    <row r="49" spans="2:13" s="9" customFormat="1" x14ac:dyDescent="0.2">
      <c r="B49" s="9" t="s">
        <v>22</v>
      </c>
      <c r="C49" s="9" t="s">
        <v>18</v>
      </c>
      <c r="D49" s="9" t="s">
        <v>8</v>
      </c>
      <c r="E49" s="11">
        <v>0</v>
      </c>
      <c r="F49" s="11">
        <v>0</v>
      </c>
      <c r="G49" s="10">
        <v>62626.333333333299</v>
      </c>
      <c r="H49" s="10">
        <v>16758.5555555555</v>
      </c>
      <c r="I49" s="10">
        <v>2365.1891531917299</v>
      </c>
      <c r="J49" s="18">
        <f>E49-E12</f>
        <v>-3.4820597156403799E-3</v>
      </c>
      <c r="K49" s="18">
        <f>G49-G12</f>
        <v>-23822.666666666701</v>
      </c>
      <c r="L49" s="18">
        <f>H49-H12</f>
        <v>-11998.777777777799</v>
      </c>
      <c r="M49" s="18">
        <f>I49-I12</f>
        <v>-185.3354235113502</v>
      </c>
    </row>
    <row r="50" spans="2:13" s="9" customFormat="1" x14ac:dyDescent="0.2">
      <c r="B50" s="9" t="s">
        <v>22</v>
      </c>
      <c r="C50" s="9" t="s">
        <v>19</v>
      </c>
      <c r="D50" s="9" t="s">
        <v>24</v>
      </c>
      <c r="E50" s="11"/>
      <c r="F50" s="11"/>
      <c r="G50" s="11"/>
      <c r="H50" s="11"/>
      <c r="I50" s="11"/>
      <c r="J50" s="18"/>
      <c r="K50" s="18"/>
      <c r="L50" s="18"/>
      <c r="M50" s="18"/>
    </row>
    <row r="51" spans="2:13" s="12" customFormat="1" x14ac:dyDescent="0.2">
      <c r="B51" s="12" t="s">
        <v>23</v>
      </c>
      <c r="C51" s="12" t="s">
        <v>7</v>
      </c>
      <c r="D51" s="12" t="s">
        <v>8</v>
      </c>
      <c r="E51" s="13">
        <v>1.2960710142868001E-2</v>
      </c>
      <c r="F51" s="13">
        <v>1.2415448290272E-2</v>
      </c>
      <c r="G51" s="14">
        <v>825334.75</v>
      </c>
      <c r="H51" s="14">
        <v>76398.75</v>
      </c>
      <c r="I51" s="13">
        <v>5272.6175115965298</v>
      </c>
      <c r="J51" s="19">
        <f>E51-E2</f>
        <v>-6.6196772133083979E-3</v>
      </c>
      <c r="K51" s="25">
        <f>G51-G2</f>
        <v>224673.19444444496</v>
      </c>
      <c r="L51" s="25">
        <f>H51-H2</f>
        <v>12543.861111111197</v>
      </c>
      <c r="M51" s="19">
        <f>I51-I2</f>
        <v>-1.778157399340671</v>
      </c>
    </row>
    <row r="52" spans="2:13" s="12" customFormat="1" x14ac:dyDescent="0.2">
      <c r="B52" s="12" t="s">
        <v>23</v>
      </c>
      <c r="C52" s="12" t="s">
        <v>9</v>
      </c>
      <c r="D52" s="12" t="s">
        <v>8</v>
      </c>
      <c r="E52" s="13">
        <v>0.67574457141401001</v>
      </c>
      <c r="F52" s="13">
        <v>0.25868217447129999</v>
      </c>
      <c r="G52" s="14">
        <v>538110.5</v>
      </c>
      <c r="H52" s="14">
        <v>49932.5</v>
      </c>
      <c r="I52" s="13">
        <v>2289.56627854611</v>
      </c>
      <c r="J52" s="19">
        <f>E52-E3</f>
        <v>8.1774993290747E-2</v>
      </c>
      <c r="K52" s="19">
        <f>G51-G2</f>
        <v>224673.19444444496</v>
      </c>
      <c r="L52" s="19">
        <f>H51-H2</f>
        <v>12543.861111111197</v>
      </c>
      <c r="M52" s="19">
        <f>I52-I3</f>
        <v>824.71035409229989</v>
      </c>
    </row>
    <row r="53" spans="2:13" s="12" customFormat="1" x14ac:dyDescent="0.2">
      <c r="B53" s="12" t="s">
        <v>23</v>
      </c>
      <c r="C53" s="12" t="s">
        <v>10</v>
      </c>
      <c r="D53" s="12" t="s">
        <v>8</v>
      </c>
      <c r="E53" s="14">
        <v>0</v>
      </c>
      <c r="F53" s="14">
        <v>0</v>
      </c>
      <c r="G53" s="14">
        <v>248105.5</v>
      </c>
      <c r="H53" s="14">
        <v>42133.5</v>
      </c>
      <c r="I53" s="13">
        <v>4781.0721276765598</v>
      </c>
      <c r="J53" s="19">
        <f>E53-E4</f>
        <v>-5.9032475829134904E-3</v>
      </c>
      <c r="K53" s="19">
        <f>G52-G3</f>
        <v>257167.25</v>
      </c>
      <c r="L53" s="19">
        <f>H52-H3</f>
        <v>12719.375</v>
      </c>
      <c r="M53" s="19">
        <f>I53-I4</f>
        <v>1001.1275455760697</v>
      </c>
    </row>
    <row r="54" spans="2:13" s="12" customFormat="1" x14ac:dyDescent="0.2">
      <c r="B54" s="12" t="s">
        <v>23</v>
      </c>
      <c r="C54" s="12" t="s">
        <v>11</v>
      </c>
      <c r="D54" s="12" t="s">
        <v>8</v>
      </c>
      <c r="E54" s="13">
        <v>0.33370660241135303</v>
      </c>
      <c r="F54" s="13">
        <v>0.37133923613737002</v>
      </c>
      <c r="G54" s="14">
        <v>617381.25</v>
      </c>
      <c r="H54" s="14">
        <v>68629.625</v>
      </c>
      <c r="I54" s="13">
        <v>2601.39955746033</v>
      </c>
      <c r="J54" s="19">
        <f>E54-E5</f>
        <v>-8.5901702786849998E-2</v>
      </c>
      <c r="K54" s="19">
        <f>G53-G4</f>
        <v>70253</v>
      </c>
      <c r="L54" s="19">
        <f>H53-H4</f>
        <v>-7614</v>
      </c>
      <c r="M54" s="19">
        <f>I54-I5</f>
        <v>1292.0428559823899</v>
      </c>
    </row>
    <row r="55" spans="2:13" s="12" customFormat="1" x14ac:dyDescent="0.2">
      <c r="B55" s="12" t="s">
        <v>23</v>
      </c>
      <c r="C55" s="12" t="s">
        <v>12</v>
      </c>
      <c r="D55" s="12" t="s">
        <v>8</v>
      </c>
      <c r="E55" s="14">
        <v>7.6073230190924199E-2</v>
      </c>
      <c r="F55" s="14">
        <v>0.18341375511246799</v>
      </c>
      <c r="G55" s="14">
        <v>485548.5</v>
      </c>
      <c r="H55" s="13">
        <v>42594.666666666599</v>
      </c>
      <c r="I55" s="13">
        <v>2574.9382659588</v>
      </c>
      <c r="J55" s="19">
        <f>E55-E6</f>
        <v>-0.37309903109072878</v>
      </c>
      <c r="K55" s="19">
        <f>G54-G5</f>
        <v>409573.472222223</v>
      </c>
      <c r="L55" s="19">
        <f>H54-H5</f>
        <v>35387.069444444503</v>
      </c>
      <c r="M55" s="19">
        <f>I55-I6</f>
        <v>856.27354795405995</v>
      </c>
    </row>
    <row r="56" spans="2:13" s="12" customFormat="1" x14ac:dyDescent="0.2">
      <c r="B56" s="12" t="s">
        <v>23</v>
      </c>
      <c r="C56" s="12" t="s">
        <v>13</v>
      </c>
      <c r="D56" s="12" t="s">
        <v>8</v>
      </c>
      <c r="E56" s="14">
        <v>6.3026859412432301E-2</v>
      </c>
      <c r="F56" s="14">
        <v>0.14848729421885301</v>
      </c>
      <c r="G56" s="13">
        <v>487155.66666666599</v>
      </c>
      <c r="H56" s="13">
        <v>48845.111111111102</v>
      </c>
      <c r="I56" s="13">
        <v>2033.19732579837</v>
      </c>
      <c r="J56" s="19">
        <f>E56-E7</f>
        <v>-0.20291539155002469</v>
      </c>
      <c r="K56" s="19">
        <f>G55-G6</f>
        <v>349469.78571428603</v>
      </c>
      <c r="L56" s="19">
        <f>H55-H6</f>
        <v>16909.666666666599</v>
      </c>
      <c r="M56" s="19">
        <f>I56-I7</f>
        <v>862.6412142101301</v>
      </c>
    </row>
    <row r="57" spans="2:13" s="12" customFormat="1" x14ac:dyDescent="0.2">
      <c r="B57" s="12" t="s">
        <v>23</v>
      </c>
      <c r="C57" s="12" t="s">
        <v>14</v>
      </c>
      <c r="D57" s="12" t="s">
        <v>8</v>
      </c>
      <c r="E57" s="13">
        <v>0.22695912276233399</v>
      </c>
      <c r="F57" s="13">
        <v>0.31333889001630399</v>
      </c>
      <c r="G57" s="14">
        <v>461864.625</v>
      </c>
      <c r="H57" s="14">
        <v>31053.25</v>
      </c>
      <c r="I57" s="13">
        <v>2733.1487021520702</v>
      </c>
      <c r="J57" s="19">
        <f>E57-E8</f>
        <v>-0.37557894287707605</v>
      </c>
      <c r="K57" s="19">
        <f>G56-G7</f>
        <v>282577</v>
      </c>
      <c r="L57" s="19">
        <f>H56-H7</f>
        <v>20550.444444444503</v>
      </c>
      <c r="M57" s="19">
        <f>I57-I8</f>
        <v>737.46614099317026</v>
      </c>
    </row>
    <row r="58" spans="2:13" s="12" customFormat="1" x14ac:dyDescent="0.2">
      <c r="B58" s="12" t="s">
        <v>23</v>
      </c>
      <c r="C58" s="12" t="s">
        <v>15</v>
      </c>
      <c r="D58" s="12" t="s">
        <v>8</v>
      </c>
      <c r="E58" s="14">
        <v>6.4738885145301794E-2</v>
      </c>
      <c r="F58" s="14">
        <v>8.7970672725766905E-2</v>
      </c>
      <c r="G58" s="13">
        <v>400354.22222222202</v>
      </c>
      <c r="H58" s="13">
        <v>49047.333333333299</v>
      </c>
      <c r="I58" s="13">
        <v>2618.4773265007402</v>
      </c>
      <c r="J58" s="19">
        <f>E58-E9</f>
        <v>-9.9628061120240197E-2</v>
      </c>
      <c r="K58" s="19">
        <f>G57-G8</f>
        <v>297543.375</v>
      </c>
      <c r="L58" s="19">
        <f>H57-H8</f>
        <v>4297.25</v>
      </c>
      <c r="M58" s="19">
        <f>I58-I9</f>
        <v>-1381.0554757151399</v>
      </c>
    </row>
    <row r="59" spans="2:13" s="12" customFormat="1" x14ac:dyDescent="0.2">
      <c r="B59" s="12" t="s">
        <v>23</v>
      </c>
      <c r="C59" s="12" t="s">
        <v>16</v>
      </c>
      <c r="D59" s="12" t="s">
        <v>8</v>
      </c>
      <c r="E59" s="14">
        <v>0.282320794742627</v>
      </c>
      <c r="F59" s="14">
        <v>0.26578561011290303</v>
      </c>
      <c r="G59" s="14">
        <v>604374</v>
      </c>
      <c r="H59" s="13">
        <v>86018.857142857101</v>
      </c>
      <c r="I59" s="14">
        <v>4435.9408903036801</v>
      </c>
      <c r="J59" s="19">
        <f>E59-E10</f>
        <v>-0.20683016896273998</v>
      </c>
      <c r="K59" s="19">
        <f>G58-G9</f>
        <v>-467008.77777777798</v>
      </c>
      <c r="L59" s="19">
        <f>H58-H9</f>
        <v>-39880.777777777796</v>
      </c>
      <c r="M59" s="19">
        <f>I59-I10</f>
        <v>2083.0588716665402</v>
      </c>
    </row>
    <row r="60" spans="2:13" s="12" customFormat="1" x14ac:dyDescent="0.2">
      <c r="B60" s="12" t="s">
        <v>23</v>
      </c>
      <c r="C60" s="12" t="s">
        <v>17</v>
      </c>
      <c r="D60" s="12" t="s">
        <v>8</v>
      </c>
      <c r="E60" s="14">
        <v>2.5228288836697901E-3</v>
      </c>
      <c r="F60" s="14">
        <v>1.9450776534857801E-4</v>
      </c>
      <c r="G60" s="14">
        <v>1179206.5</v>
      </c>
      <c r="H60" s="14">
        <v>121855.5</v>
      </c>
      <c r="I60" s="13">
        <v>5519.7707431584104</v>
      </c>
      <c r="J60" s="19">
        <f>E60-E11</f>
        <v>8.0447891819783999E-4</v>
      </c>
      <c r="K60" s="19">
        <f>G59-G10</f>
        <v>482091.25</v>
      </c>
      <c r="L60" s="19">
        <f>H59-H10</f>
        <v>48488.607142857101</v>
      </c>
      <c r="M60" s="19">
        <f>I60-I11</f>
        <v>182.79817643863043</v>
      </c>
    </row>
    <row r="61" spans="2:13" s="12" customFormat="1" x14ac:dyDescent="0.2">
      <c r="B61" s="12" t="s">
        <v>23</v>
      </c>
      <c r="C61" s="12" t="s">
        <v>18</v>
      </c>
      <c r="D61" s="12" t="s">
        <v>8</v>
      </c>
      <c r="E61" s="14">
        <v>6.5172338398123203E-3</v>
      </c>
      <c r="F61" s="14">
        <v>1.2982438355325299E-2</v>
      </c>
      <c r="G61" s="13">
        <v>88813.333333333299</v>
      </c>
      <c r="H61" s="13">
        <v>26859.8888888888</v>
      </c>
      <c r="I61" s="13">
        <v>2470.9488912690399</v>
      </c>
      <c r="J61" s="19">
        <f>E61-E12</f>
        <v>3.0351741241719404E-3</v>
      </c>
      <c r="K61" s="19">
        <f>G60-G11</f>
        <v>894941.83333333395</v>
      </c>
      <c r="L61" s="19">
        <f>H60-H11</f>
        <v>55906.5</v>
      </c>
      <c r="M61" s="19">
        <f>I61-I12</f>
        <v>-79.575685434040224</v>
      </c>
    </row>
    <row r="62" spans="2:13" s="12" customFormat="1" x14ac:dyDescent="0.2">
      <c r="B62" s="12" t="s">
        <v>23</v>
      </c>
      <c r="C62" s="12" t="s">
        <v>19</v>
      </c>
      <c r="D62" s="12" t="s">
        <v>24</v>
      </c>
      <c r="E62" s="21"/>
      <c r="F62" s="21"/>
      <c r="J62" s="19"/>
      <c r="K62" s="19"/>
      <c r="L62" s="19"/>
      <c r="M62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1CAFF-1210-DB49-9F20-9B199C1411A2}">
  <dimension ref="A1:M40"/>
  <sheetViews>
    <sheetView tabSelected="1" zoomScale="160" zoomScaleNormal="160" workbookViewId="0">
      <selection activeCell="E13" sqref="E13"/>
    </sheetView>
  </sheetViews>
  <sheetFormatPr baseColWidth="10" defaultRowHeight="16" x14ac:dyDescent="0.2"/>
  <cols>
    <col min="2" max="2" width="8.6640625" customWidth="1"/>
    <col min="3" max="3" width="9.1640625" customWidth="1"/>
    <col min="4" max="4" width="11.1640625" customWidth="1"/>
    <col min="5" max="5" width="17.1640625" customWidth="1"/>
    <col min="6" max="6" width="16.6640625" bestFit="1" customWidth="1"/>
    <col min="7" max="7" width="18.33203125" bestFit="1" customWidth="1"/>
    <col min="8" max="8" width="12.6640625" bestFit="1" customWidth="1"/>
    <col min="9" max="9" width="10.6640625" bestFit="1" customWidth="1"/>
    <col min="10" max="13" width="13" bestFit="1" customWidth="1"/>
  </cols>
  <sheetData>
    <row r="1" spans="1:13" s="26" customFormat="1" x14ac:dyDescent="0.2">
      <c r="A1" s="26" t="s">
        <v>30</v>
      </c>
    </row>
    <row r="2" spans="1:13" x14ac:dyDescent="0.2">
      <c r="A2" t="s">
        <v>1</v>
      </c>
      <c r="C2" t="s">
        <v>3</v>
      </c>
      <c r="D2" t="s">
        <v>31</v>
      </c>
      <c r="E2" t="s">
        <v>32</v>
      </c>
      <c r="F2" t="s">
        <v>33</v>
      </c>
      <c r="G2" t="s">
        <v>4</v>
      </c>
      <c r="H2" t="s">
        <v>35</v>
      </c>
      <c r="I2" t="s">
        <v>5</v>
      </c>
      <c r="J2" t="s">
        <v>36</v>
      </c>
      <c r="K2" t="s">
        <v>6</v>
      </c>
      <c r="L2" t="s">
        <v>37</v>
      </c>
    </row>
    <row r="3" spans="1:13" x14ac:dyDescent="0.2">
      <c r="A3" t="s">
        <v>7</v>
      </c>
      <c r="B3" t="s">
        <v>8</v>
      </c>
      <c r="C3" s="22">
        <v>1.9580387356176399E-2</v>
      </c>
      <c r="D3" s="22">
        <v>1.21696076820027E-2</v>
      </c>
      <c r="E3" s="22">
        <v>1.17954753717632E-2</v>
      </c>
      <c r="F3" s="23">
        <v>2.6238043895820101E-2</v>
      </c>
      <c r="G3" s="22">
        <v>600661.55555555504</v>
      </c>
      <c r="H3" s="22">
        <v>468449.33125422098</v>
      </c>
      <c r="I3" s="22">
        <v>63854.888888888803</v>
      </c>
      <c r="J3" s="22">
        <v>23186.781430614901</v>
      </c>
      <c r="K3" s="22">
        <v>5274.3956689958704</v>
      </c>
      <c r="L3" s="22">
        <v>1168.38912152689</v>
      </c>
      <c r="M3" s="22"/>
    </row>
    <row r="4" spans="1:13" x14ac:dyDescent="0.2">
      <c r="A4" t="s">
        <v>9</v>
      </c>
      <c r="B4" t="s">
        <v>8</v>
      </c>
      <c r="C4" s="22">
        <v>0.59396957812326301</v>
      </c>
      <c r="D4" s="22">
        <v>0.21605530968464801</v>
      </c>
      <c r="E4" s="22">
        <v>0.46446425372642602</v>
      </c>
      <c r="F4" s="22">
        <v>0.74054393366709204</v>
      </c>
      <c r="G4" s="23">
        <v>280943.25</v>
      </c>
      <c r="H4" s="22">
        <v>110073.724171899</v>
      </c>
      <c r="I4" s="23">
        <v>37213.125</v>
      </c>
      <c r="J4" s="22">
        <v>7355.4829391316698</v>
      </c>
      <c r="K4" s="22">
        <v>1464.8559244538101</v>
      </c>
      <c r="L4" s="22">
        <v>306.82158641995699</v>
      </c>
      <c r="M4" s="22"/>
    </row>
    <row r="5" spans="1:13" x14ac:dyDescent="0.2">
      <c r="A5" t="s">
        <v>10</v>
      </c>
      <c r="B5" t="s">
        <v>8</v>
      </c>
      <c r="C5" s="23">
        <v>5.9032475829134904E-3</v>
      </c>
      <c r="D5" s="23">
        <v>6.5469585476881599E-3</v>
      </c>
      <c r="E5" s="23">
        <v>1.06697060595051E-3</v>
      </c>
      <c r="F5" s="23">
        <v>1.2470988927476299E-2</v>
      </c>
      <c r="G5" s="23">
        <v>177852.5</v>
      </c>
      <c r="H5" s="22">
        <v>97213.928372773094</v>
      </c>
      <c r="I5" s="23">
        <v>49747.5</v>
      </c>
      <c r="J5" s="22">
        <v>24826.516811667301</v>
      </c>
      <c r="K5" s="22">
        <v>3779.9445821004902</v>
      </c>
      <c r="L5" s="22">
        <v>1976.10331087432</v>
      </c>
      <c r="M5" s="23"/>
    </row>
    <row r="6" spans="1:13" x14ac:dyDescent="0.2">
      <c r="A6" t="s">
        <v>11</v>
      </c>
      <c r="B6" t="s">
        <v>8</v>
      </c>
      <c r="C6" s="22">
        <v>0.41960830519820302</v>
      </c>
      <c r="D6" s="22">
        <v>0.25389075452515197</v>
      </c>
      <c r="E6" s="22">
        <v>0.27132288335055499</v>
      </c>
      <c r="F6" s="22">
        <v>0.58295814540234503</v>
      </c>
      <c r="G6" s="22">
        <v>207807.777777777</v>
      </c>
      <c r="H6" s="22">
        <v>218156.011386792</v>
      </c>
      <c r="I6" s="22">
        <v>33242.555555555497</v>
      </c>
      <c r="J6" s="22">
        <v>24567.9487193737</v>
      </c>
      <c r="K6" s="22">
        <v>1309.3567014779401</v>
      </c>
      <c r="L6" s="22">
        <v>959.57199625129294</v>
      </c>
      <c r="M6" s="22"/>
    </row>
    <row r="7" spans="1:13" x14ac:dyDescent="0.2">
      <c r="A7" t="s">
        <v>12</v>
      </c>
      <c r="B7" t="s">
        <v>8</v>
      </c>
      <c r="C7" s="22">
        <v>0.449172261281653</v>
      </c>
      <c r="D7" s="23">
        <v>3.3977082701124E-3</v>
      </c>
      <c r="E7" s="22">
        <v>0.44647636839579102</v>
      </c>
      <c r="F7" s="22">
        <v>0.450856205214965</v>
      </c>
      <c r="G7" s="22">
        <v>136078.714285714</v>
      </c>
      <c r="H7" s="22">
        <v>44986.663504177399</v>
      </c>
      <c r="I7" s="23">
        <v>25685</v>
      </c>
      <c r="J7" s="22">
        <v>3626.8317670753099</v>
      </c>
      <c r="K7" s="22">
        <v>1718.6647180047401</v>
      </c>
      <c r="L7" s="22">
        <v>367.29555840244399</v>
      </c>
      <c r="M7" s="22"/>
    </row>
    <row r="8" spans="1:13" x14ac:dyDescent="0.2">
      <c r="A8" t="s">
        <v>13</v>
      </c>
      <c r="B8" t="s">
        <v>8</v>
      </c>
      <c r="C8" s="22">
        <v>0.26594225096245699</v>
      </c>
      <c r="D8" s="22">
        <v>0.118678777802078</v>
      </c>
      <c r="E8" s="22">
        <v>0.18782792659878</v>
      </c>
      <c r="F8" s="22">
        <v>0.32824857697703202</v>
      </c>
      <c r="G8" s="22">
        <v>204578.66666666599</v>
      </c>
      <c r="H8" s="22">
        <v>149560.755375532</v>
      </c>
      <c r="I8" s="22">
        <v>28294.666666666599</v>
      </c>
      <c r="J8" s="22">
        <v>21918.331579981099</v>
      </c>
      <c r="K8" s="22">
        <v>1170.5561115882399</v>
      </c>
      <c r="L8" s="22">
        <v>882.59815690897096</v>
      </c>
      <c r="M8" s="23"/>
    </row>
    <row r="9" spans="1:13" x14ac:dyDescent="0.2">
      <c r="A9" t="s">
        <v>14</v>
      </c>
      <c r="B9" t="s">
        <v>8</v>
      </c>
      <c r="C9" s="22">
        <v>0.60253806563941004</v>
      </c>
      <c r="D9" s="23">
        <v>3.2441617991817599E-2</v>
      </c>
      <c r="E9" s="22">
        <v>0.57959837756473198</v>
      </c>
      <c r="F9" s="22">
        <v>0.61400790967674901</v>
      </c>
      <c r="G9" s="23">
        <v>164321.25</v>
      </c>
      <c r="H9" s="22">
        <v>109009.13870700399</v>
      </c>
      <c r="I9" s="23">
        <v>26756</v>
      </c>
      <c r="J9" s="22">
        <v>5795.5538870019</v>
      </c>
      <c r="K9" s="22">
        <v>1995.6825611588999</v>
      </c>
      <c r="L9" s="22">
        <v>446.76691016447899</v>
      </c>
      <c r="M9" s="23"/>
    </row>
    <row r="10" spans="1:13" x14ac:dyDescent="0.2">
      <c r="A10" t="s">
        <v>15</v>
      </c>
      <c r="B10" t="s">
        <v>8</v>
      </c>
      <c r="C10" s="22">
        <v>0.16436694626554199</v>
      </c>
      <c r="D10" s="22">
        <v>0.12365031918446399</v>
      </c>
      <c r="E10" s="23">
        <v>8.1945118920639701E-2</v>
      </c>
      <c r="F10" s="22">
        <v>0.242360384552298</v>
      </c>
      <c r="G10" s="23">
        <v>867363</v>
      </c>
      <c r="H10" s="22">
        <v>299638.25285917602</v>
      </c>
      <c r="I10" s="22">
        <v>88928.111111111095</v>
      </c>
      <c r="J10" s="22">
        <v>25980.9935743633</v>
      </c>
      <c r="K10" s="22">
        <v>3999.5328022158801</v>
      </c>
      <c r="L10" s="22">
        <v>989.829378307154</v>
      </c>
      <c r="M10" s="22"/>
    </row>
    <row r="11" spans="1:13" x14ac:dyDescent="0.2">
      <c r="A11" t="s">
        <v>16</v>
      </c>
      <c r="B11" t="s">
        <v>8</v>
      </c>
      <c r="C11" s="22">
        <v>0.48915096370536698</v>
      </c>
      <c r="D11" s="22">
        <v>2.4308741405495701E-2</v>
      </c>
      <c r="E11" s="22">
        <v>0.473723571123359</v>
      </c>
      <c r="F11" s="22">
        <v>0.50463520702299702</v>
      </c>
      <c r="G11" s="23">
        <v>122282.75</v>
      </c>
      <c r="H11" s="22">
        <v>47213.273856133703</v>
      </c>
      <c r="I11" s="23">
        <v>37530.25</v>
      </c>
      <c r="J11" s="22">
        <v>11817.3023480705</v>
      </c>
      <c r="K11" s="22">
        <v>2352.8820186371399</v>
      </c>
      <c r="L11" s="22">
        <v>682.84236585888698</v>
      </c>
      <c r="M11" s="22"/>
    </row>
    <row r="12" spans="1:13" x14ac:dyDescent="0.2">
      <c r="A12" t="s">
        <v>17</v>
      </c>
      <c r="B12" t="s">
        <v>8</v>
      </c>
      <c r="C12" s="23">
        <v>1.7183499654719501E-3</v>
      </c>
      <c r="D12" s="23">
        <v>1.3672603186195801E-3</v>
      </c>
      <c r="E12" s="23">
        <v>7.63942317253685E-4</v>
      </c>
      <c r="F12" s="23">
        <v>2.6973517261524999E-3</v>
      </c>
      <c r="G12" s="22">
        <v>284264.66666666599</v>
      </c>
      <c r="H12" s="22">
        <v>37321.393857500298</v>
      </c>
      <c r="I12" s="23">
        <v>65949</v>
      </c>
      <c r="J12" s="22">
        <v>9533.0270533550793</v>
      </c>
      <c r="K12" s="22">
        <v>5336.9725667197799</v>
      </c>
      <c r="L12" s="22">
        <v>647.63022615285604</v>
      </c>
      <c r="M12" s="22"/>
    </row>
    <row r="13" spans="1:13" x14ac:dyDescent="0.2">
      <c r="A13" t="s">
        <v>18</v>
      </c>
      <c r="B13" t="s">
        <v>8</v>
      </c>
      <c r="C13" s="23">
        <v>3.4820597156403799E-3</v>
      </c>
      <c r="D13" s="23">
        <v>9.4104305729527295E-3</v>
      </c>
      <c r="E13" s="23">
        <v>0</v>
      </c>
      <c r="F13" s="23">
        <v>9.8035260935803708E-3</v>
      </c>
      <c r="G13" s="23">
        <v>86449</v>
      </c>
      <c r="H13" s="22">
        <v>12513.750287184001</v>
      </c>
      <c r="I13" s="22">
        <v>28757.333333333299</v>
      </c>
      <c r="J13" s="22">
        <v>7009.6272368792897</v>
      </c>
      <c r="K13" s="22">
        <v>2550.5245767030801</v>
      </c>
      <c r="L13" s="22">
        <v>620.442913837378</v>
      </c>
      <c r="M13" s="22"/>
    </row>
    <row r="14" spans="1:13" x14ac:dyDescent="0.2">
      <c r="A14" t="s">
        <v>19</v>
      </c>
      <c r="B14" t="s">
        <v>38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</row>
    <row r="15" spans="1:13" s="26" customFormat="1" x14ac:dyDescent="0.2">
      <c r="A15" s="26" t="s">
        <v>34</v>
      </c>
      <c r="C15" s="26" t="s">
        <v>3</v>
      </c>
      <c r="D15" s="26" t="s">
        <v>31</v>
      </c>
      <c r="E15" s="26" t="s">
        <v>32</v>
      </c>
      <c r="F15" s="26" t="s">
        <v>33</v>
      </c>
      <c r="G15" s="26" t="s">
        <v>4</v>
      </c>
      <c r="H15" s="26" t="s">
        <v>35</v>
      </c>
      <c r="I15" s="26" t="s">
        <v>5</v>
      </c>
      <c r="J15" s="26" t="s">
        <v>36</v>
      </c>
      <c r="K15" s="26" t="s">
        <v>6</v>
      </c>
      <c r="L15" s="26" t="s">
        <v>37</v>
      </c>
      <c r="M15" s="27"/>
    </row>
    <row r="16" spans="1:13" x14ac:dyDescent="0.2">
      <c r="A16" t="s">
        <v>7</v>
      </c>
      <c r="B16" t="s">
        <v>8</v>
      </c>
      <c r="C16" s="22">
        <v>1.08973759497901E-2</v>
      </c>
      <c r="D16" s="23">
        <v>7.0958170483022796E-3</v>
      </c>
      <c r="E16" s="23">
        <v>6.9218028050743704E-3</v>
      </c>
      <c r="F16" s="23">
        <v>1.62137168123331E-2</v>
      </c>
      <c r="G16" s="22">
        <v>1543570.33333333</v>
      </c>
      <c r="H16" s="22">
        <v>332709.343983603</v>
      </c>
      <c r="I16" s="22">
        <v>46254.666666666599</v>
      </c>
      <c r="J16" s="22">
        <v>4943.9276896006404</v>
      </c>
      <c r="K16" s="22">
        <v>8440.2718289637305</v>
      </c>
      <c r="L16" s="22">
        <v>3116.9833533838901</v>
      </c>
      <c r="M16" s="23"/>
    </row>
    <row r="17" spans="1:13" x14ac:dyDescent="0.2">
      <c r="A17" t="s">
        <v>9</v>
      </c>
      <c r="B17" t="s">
        <v>8</v>
      </c>
      <c r="C17" s="22">
        <v>0.62430069374267105</v>
      </c>
      <c r="D17" s="22">
        <v>0.22114494894429701</v>
      </c>
      <c r="E17" s="22">
        <v>0.49287317392498597</v>
      </c>
      <c r="F17" s="22">
        <v>0.76346538889987103</v>
      </c>
      <c r="G17" s="22">
        <v>2243442.66666666</v>
      </c>
      <c r="H17" s="22">
        <v>1173234.97345938</v>
      </c>
      <c r="I17" s="22">
        <v>42463.666666666599</v>
      </c>
      <c r="J17" s="22">
        <v>13487.5329285974</v>
      </c>
      <c r="K17" s="22">
        <v>1457.3173900174099</v>
      </c>
      <c r="L17" s="22">
        <v>646.16432529766996</v>
      </c>
      <c r="M17" s="23"/>
    </row>
    <row r="18" spans="1:13" x14ac:dyDescent="0.2">
      <c r="A18" t="s">
        <v>10</v>
      </c>
      <c r="B18" t="s">
        <v>8</v>
      </c>
      <c r="C18" s="23">
        <v>7.7611715110122298E-3</v>
      </c>
      <c r="D18" s="23">
        <v>8.5919953293483592E-3</v>
      </c>
      <c r="E18" s="23">
        <v>2.7015372988306598E-3</v>
      </c>
      <c r="F18" s="22">
        <v>1.36370097730725E-2</v>
      </c>
      <c r="G18" s="22">
        <v>836580.33333333302</v>
      </c>
      <c r="H18" s="22">
        <v>926685.12297435699</v>
      </c>
      <c r="I18" s="22">
        <v>25841.8888888888</v>
      </c>
      <c r="J18" s="22">
        <v>24957.373326556401</v>
      </c>
      <c r="K18" s="22">
        <v>3630.8818127250001</v>
      </c>
      <c r="L18" s="22">
        <v>3169.36455537541</v>
      </c>
      <c r="M18" s="23"/>
    </row>
    <row r="19" spans="1:13" x14ac:dyDescent="0.2">
      <c r="A19" t="s">
        <v>11</v>
      </c>
      <c r="B19" t="s">
        <v>8</v>
      </c>
      <c r="C19" s="22">
        <v>0.33200692286643502</v>
      </c>
      <c r="D19" s="22">
        <v>0.30427044712168499</v>
      </c>
      <c r="E19" s="22">
        <v>0.124741137692921</v>
      </c>
      <c r="F19" s="22">
        <v>0.50421981326906795</v>
      </c>
      <c r="G19" s="22">
        <v>961499.88888888794</v>
      </c>
      <c r="H19" s="22">
        <v>686287.38895568403</v>
      </c>
      <c r="I19" s="22">
        <v>33826.333333333299</v>
      </c>
      <c r="J19" s="22">
        <v>16041.312999564499</v>
      </c>
      <c r="K19" s="22">
        <v>764.10518184304203</v>
      </c>
      <c r="L19" s="22">
        <v>426.37340695006702</v>
      </c>
      <c r="M19" s="23"/>
    </row>
    <row r="20" spans="1:13" x14ac:dyDescent="0.2">
      <c r="A20" t="s">
        <v>12</v>
      </c>
      <c r="B20" t="s">
        <v>8</v>
      </c>
      <c r="C20" s="22">
        <v>0.44201708006310803</v>
      </c>
      <c r="D20" s="23">
        <v>4.3540308202322303E-3</v>
      </c>
      <c r="E20" s="22">
        <v>0.43954014458815099</v>
      </c>
      <c r="F20" s="22">
        <v>0.44500370722764199</v>
      </c>
      <c r="G20" s="22">
        <v>232633.777777777</v>
      </c>
      <c r="H20" s="23">
        <v>50722.484520619102</v>
      </c>
      <c r="I20" s="22">
        <v>9103.7777777777701</v>
      </c>
      <c r="J20" s="22">
        <v>1679.1282543166301</v>
      </c>
      <c r="K20" s="22">
        <v>1722.9506718011301</v>
      </c>
      <c r="L20" s="22">
        <v>163.33749436458501</v>
      </c>
      <c r="M20" s="23"/>
    </row>
    <row r="21" spans="1:13" x14ac:dyDescent="0.2">
      <c r="A21" t="s">
        <v>13</v>
      </c>
      <c r="B21" t="s">
        <v>8</v>
      </c>
      <c r="C21" s="22">
        <v>0.24128794582003801</v>
      </c>
      <c r="D21" s="22">
        <v>0.15587063707534801</v>
      </c>
      <c r="E21" s="22">
        <v>0.123565516101075</v>
      </c>
      <c r="F21" s="23">
        <v>0.31435140914697401</v>
      </c>
      <c r="G21" s="22">
        <v>963774.88888888794</v>
      </c>
      <c r="H21" s="22">
        <v>1006279.50797038</v>
      </c>
      <c r="I21" s="22">
        <v>23891.8888888888</v>
      </c>
      <c r="J21" s="22">
        <v>21087.401081240601</v>
      </c>
      <c r="K21" s="22">
        <v>654.37045479400194</v>
      </c>
      <c r="L21" s="22">
        <v>552.81196212835198</v>
      </c>
      <c r="M21" s="23"/>
    </row>
    <row r="22" spans="1:13" x14ac:dyDescent="0.2">
      <c r="A22" t="s">
        <v>14</v>
      </c>
      <c r="B22" t="s">
        <v>8</v>
      </c>
      <c r="C22" s="22">
        <v>0.54599086535567598</v>
      </c>
      <c r="D22" s="23">
        <v>5.2554260453291E-4</v>
      </c>
      <c r="E22" s="22">
        <v>0.54560748672454595</v>
      </c>
      <c r="F22" s="22">
        <v>0.54625649880528004</v>
      </c>
      <c r="G22" s="22">
        <v>257453.777777777</v>
      </c>
      <c r="H22" s="22">
        <v>124782.76456083301</v>
      </c>
      <c r="I22" s="22">
        <v>11016.777777777699</v>
      </c>
      <c r="J22" s="22">
        <v>6332.0903889982801</v>
      </c>
      <c r="K22" s="22">
        <v>3638.8560735378401</v>
      </c>
      <c r="L22" s="22">
        <v>1950.7596687391399</v>
      </c>
      <c r="M22" s="23"/>
    </row>
    <row r="23" spans="1:13" x14ac:dyDescent="0.2">
      <c r="A23" t="s">
        <v>15</v>
      </c>
      <c r="B23" t="s">
        <v>8</v>
      </c>
      <c r="C23" s="22">
        <v>0.197216901006175</v>
      </c>
      <c r="D23" s="23">
        <v>3.05666437597545E-2</v>
      </c>
      <c r="E23" s="22">
        <v>0.17879107523705201</v>
      </c>
      <c r="F23" s="22">
        <v>0.21670952117685</v>
      </c>
      <c r="G23" s="22">
        <v>4963172.1111111101</v>
      </c>
      <c r="H23" s="22">
        <v>3569101.1362904902</v>
      </c>
      <c r="I23" s="22">
        <v>73560.333333333299</v>
      </c>
      <c r="J23" s="22">
        <v>28006.0833302338</v>
      </c>
      <c r="K23" s="22">
        <v>4809.80306252009</v>
      </c>
      <c r="L23" s="22">
        <v>1669.2418195974601</v>
      </c>
      <c r="M23" s="23"/>
    </row>
    <row r="24" spans="1:13" x14ac:dyDescent="0.2">
      <c r="A24" t="s">
        <v>16</v>
      </c>
      <c r="B24" t="s">
        <v>8</v>
      </c>
      <c r="C24" s="22">
        <v>0.50735723313779002</v>
      </c>
      <c r="D24" s="22">
        <v>3.9021401204568699E-2</v>
      </c>
      <c r="E24" s="22">
        <v>0.48215321536487898</v>
      </c>
      <c r="F24" s="22">
        <v>0.53132385231806301</v>
      </c>
      <c r="G24" s="22">
        <v>811463.55555555504</v>
      </c>
      <c r="H24" s="22">
        <v>389596.35261611099</v>
      </c>
      <c r="I24" s="22">
        <v>18557.333333333299</v>
      </c>
      <c r="J24" s="22">
        <v>3486.6623366767199</v>
      </c>
      <c r="K24" s="22">
        <v>2644.6579914264698</v>
      </c>
      <c r="L24" s="22">
        <v>176.11772758403001</v>
      </c>
      <c r="M24" s="23"/>
    </row>
    <row r="25" spans="1:13" x14ac:dyDescent="0.2">
      <c r="A25" t="s">
        <v>17</v>
      </c>
      <c r="B25" t="s">
        <v>8</v>
      </c>
      <c r="C25" s="23">
        <v>3.2920334310749398E-3</v>
      </c>
      <c r="D25" s="23">
        <v>1.29231493882171E-3</v>
      </c>
      <c r="E25" s="23">
        <v>2.4013393719605298E-3</v>
      </c>
      <c r="F25" s="23">
        <v>3.8955913634491999E-3</v>
      </c>
      <c r="G25" s="22">
        <v>3419633.1111111101</v>
      </c>
      <c r="H25" s="22">
        <v>2015297.2962575101</v>
      </c>
      <c r="I25" s="22">
        <v>64260.222222222197</v>
      </c>
      <c r="J25" s="23">
        <v>21668.064056219799</v>
      </c>
      <c r="K25" s="22">
        <v>5655.9923383138203</v>
      </c>
      <c r="L25" s="22">
        <v>1047.9719169003599</v>
      </c>
      <c r="M25" s="23"/>
    </row>
    <row r="26" spans="1:13" x14ac:dyDescent="0.2">
      <c r="A26" t="s">
        <v>18</v>
      </c>
      <c r="B26" t="s">
        <v>8</v>
      </c>
      <c r="C26" s="22">
        <v>1.1925542130481699E-2</v>
      </c>
      <c r="D26" s="22">
        <v>1.4143837949734299E-2</v>
      </c>
      <c r="E26" s="23">
        <v>2.9604390339136501E-3</v>
      </c>
      <c r="F26" s="22">
        <v>2.0890645227049798E-2</v>
      </c>
      <c r="G26" s="22">
        <v>156511.777777777</v>
      </c>
      <c r="H26" s="22">
        <v>69842.811129309805</v>
      </c>
      <c r="I26" s="22">
        <v>17745.222222222201</v>
      </c>
      <c r="J26" s="23">
        <v>14196.5584806475</v>
      </c>
      <c r="K26" s="22">
        <v>4150.2062862271196</v>
      </c>
      <c r="L26" s="22">
        <v>1529.46978183242</v>
      </c>
      <c r="M26" s="23"/>
    </row>
    <row r="27" spans="1:13" x14ac:dyDescent="0.2">
      <c r="A27" t="s">
        <v>19</v>
      </c>
      <c r="B27" t="s">
        <v>38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s="26" customFormat="1" x14ac:dyDescent="0.2">
      <c r="A28" s="26" t="s">
        <v>39</v>
      </c>
      <c r="C28" s="26" t="s">
        <v>3</v>
      </c>
      <c r="D28" s="26" t="s">
        <v>31</v>
      </c>
      <c r="E28" s="26" t="s">
        <v>32</v>
      </c>
      <c r="F28" s="26" t="s">
        <v>33</v>
      </c>
      <c r="G28" s="26" t="s">
        <v>4</v>
      </c>
      <c r="H28" s="26" t="s">
        <v>35</v>
      </c>
      <c r="I28" s="26" t="s">
        <v>5</v>
      </c>
      <c r="J28" s="26" t="s">
        <v>36</v>
      </c>
      <c r="K28" s="26" t="s">
        <v>6</v>
      </c>
      <c r="L28" s="26" t="s">
        <v>37</v>
      </c>
      <c r="M28" s="27"/>
    </row>
    <row r="29" spans="1:13" x14ac:dyDescent="0.2">
      <c r="A29" t="s">
        <v>7</v>
      </c>
      <c r="B29" t="s">
        <v>8</v>
      </c>
      <c r="C29" s="23">
        <v>0</v>
      </c>
      <c r="D29" s="23">
        <v>0</v>
      </c>
      <c r="E29" s="23">
        <v>0</v>
      </c>
      <c r="F29" s="23">
        <v>0</v>
      </c>
      <c r="G29" s="22">
        <v>430268.83333333302</v>
      </c>
      <c r="H29" s="22">
        <v>361867.19528159301</v>
      </c>
      <c r="I29" s="22">
        <v>9230.1666666666606</v>
      </c>
      <c r="J29" s="22">
        <v>6947.6834532573903</v>
      </c>
      <c r="K29" s="22">
        <v>3241.9611575839399</v>
      </c>
      <c r="L29" s="22">
        <v>958.12692383260401</v>
      </c>
      <c r="M29" s="23"/>
    </row>
    <row r="30" spans="1:13" x14ac:dyDescent="0.2">
      <c r="A30" t="s">
        <v>9</v>
      </c>
      <c r="B30" t="s">
        <v>8</v>
      </c>
      <c r="C30" s="22">
        <v>0.63253825936842301</v>
      </c>
      <c r="D30" s="22">
        <v>0.23162610231136799</v>
      </c>
      <c r="E30" s="22">
        <v>0.49119826967452801</v>
      </c>
      <c r="F30" s="22">
        <v>0.775488207245981</v>
      </c>
      <c r="G30" s="22">
        <v>593478.22222222202</v>
      </c>
      <c r="H30" s="22">
        <v>225284.880051224</v>
      </c>
      <c r="I30" s="22">
        <v>27955.111111111099</v>
      </c>
      <c r="J30" s="22">
        <v>4799.6082768400001</v>
      </c>
      <c r="K30" s="22">
        <v>443.97595423604798</v>
      </c>
      <c r="L30" s="22">
        <v>194.94049690703301</v>
      </c>
      <c r="M30" s="23"/>
    </row>
    <row r="31" spans="1:13" x14ac:dyDescent="0.2">
      <c r="A31" t="s">
        <v>10</v>
      </c>
      <c r="B31" t="s">
        <v>8</v>
      </c>
      <c r="C31" s="23">
        <v>2.1582897895341902E-2</v>
      </c>
      <c r="D31" s="23">
        <v>6.6452414294134801E-3</v>
      </c>
      <c r="E31" s="23">
        <v>1.7593483430138598E-2</v>
      </c>
      <c r="F31" s="23">
        <v>2.54507007487191E-2</v>
      </c>
      <c r="G31" s="22">
        <v>618069.33333333302</v>
      </c>
      <c r="H31" s="23">
        <v>179798.48175666001</v>
      </c>
      <c r="I31" s="22">
        <v>27050.777777777701</v>
      </c>
      <c r="J31" s="23">
        <v>8395.0529149281992</v>
      </c>
      <c r="K31" s="22">
        <v>4230.0051642861199</v>
      </c>
      <c r="L31" s="22">
        <v>1056.3416215877601</v>
      </c>
      <c r="M31" s="23"/>
    </row>
    <row r="32" spans="1:13" x14ac:dyDescent="0.2">
      <c r="A32" t="s">
        <v>11</v>
      </c>
      <c r="B32" t="s">
        <v>8</v>
      </c>
      <c r="C32" s="22">
        <v>0.263315293132942</v>
      </c>
      <c r="D32" s="22">
        <v>0.39413818547685803</v>
      </c>
      <c r="E32" s="23">
        <v>2.5702882688852101E-3</v>
      </c>
      <c r="F32" s="22">
        <v>0.49414437587009802</v>
      </c>
      <c r="G32" s="22">
        <v>468742.33333333302</v>
      </c>
      <c r="H32" s="22">
        <v>241096.83736675099</v>
      </c>
      <c r="I32" s="22">
        <v>25333.444444444402</v>
      </c>
      <c r="J32" s="22">
        <v>12476.724230653501</v>
      </c>
      <c r="K32" s="22">
        <v>336.84621851125502</v>
      </c>
      <c r="L32" s="22">
        <v>161.84013366964501</v>
      </c>
      <c r="M32" s="23"/>
    </row>
    <row r="33" spans="1:13" x14ac:dyDescent="0.2">
      <c r="A33" t="s">
        <v>12</v>
      </c>
      <c r="B33" t="s">
        <v>8</v>
      </c>
      <c r="C33" s="22">
        <v>0.40125646260134301</v>
      </c>
      <c r="D33" s="22">
        <v>0.15047223866029899</v>
      </c>
      <c r="E33" s="22">
        <v>0.30072442397892601</v>
      </c>
      <c r="F33" s="22">
        <v>0.45174040488463202</v>
      </c>
      <c r="G33" s="22">
        <v>215309.444444444</v>
      </c>
      <c r="H33" s="22">
        <v>118632.456465453</v>
      </c>
      <c r="I33" s="22">
        <v>9965.1111111111095</v>
      </c>
      <c r="J33" s="22">
        <v>3455.3644324602101</v>
      </c>
      <c r="K33" s="22">
        <v>2703.68357688478</v>
      </c>
      <c r="L33" s="22">
        <v>838.10111630041001</v>
      </c>
      <c r="M33" s="23"/>
    </row>
    <row r="34" spans="1:13" x14ac:dyDescent="0.2">
      <c r="A34" t="s">
        <v>13</v>
      </c>
      <c r="B34" t="s">
        <v>8</v>
      </c>
      <c r="C34" s="22">
        <v>0.29417444255713598</v>
      </c>
      <c r="D34" s="23">
        <v>4.8337012239734203E-2</v>
      </c>
      <c r="E34" s="22">
        <v>0.26174811209719701</v>
      </c>
      <c r="F34" s="22">
        <v>0.32298530978634599</v>
      </c>
      <c r="G34" s="22">
        <v>645863.77777777705</v>
      </c>
      <c r="H34" s="22">
        <v>847335.89133424195</v>
      </c>
      <c r="I34" s="22">
        <v>21794.8888888888</v>
      </c>
      <c r="J34" s="22">
        <v>24209.148696538399</v>
      </c>
      <c r="K34" s="22">
        <v>285.115493047982</v>
      </c>
      <c r="L34" s="22">
        <v>251.220718129093</v>
      </c>
      <c r="M34" s="23"/>
    </row>
    <row r="35" spans="1:13" x14ac:dyDescent="0.2">
      <c r="A35" t="s">
        <v>14</v>
      </c>
      <c r="B35" t="s">
        <v>8</v>
      </c>
      <c r="C35" s="22">
        <v>0.52982036362720697</v>
      </c>
      <c r="D35" s="22">
        <v>3.40169055446203E-2</v>
      </c>
      <c r="E35" s="23">
        <v>0.51779357133441595</v>
      </c>
      <c r="F35" s="22">
        <v>0.55387394821279001</v>
      </c>
      <c r="G35" s="23">
        <v>170577.375</v>
      </c>
      <c r="H35" s="22">
        <v>55194.172143022202</v>
      </c>
      <c r="I35" s="23">
        <v>9750.25</v>
      </c>
      <c r="J35" s="22">
        <v>3827.5644158057999</v>
      </c>
      <c r="K35" s="22">
        <v>3866.6455581793498</v>
      </c>
      <c r="L35" s="22">
        <v>1898.5725702549701</v>
      </c>
      <c r="M35" s="23"/>
    </row>
    <row r="36" spans="1:13" x14ac:dyDescent="0.2">
      <c r="A36" t="s">
        <v>15</v>
      </c>
      <c r="B36" t="s">
        <v>8</v>
      </c>
      <c r="C36" s="22">
        <v>0.128749944577292</v>
      </c>
      <c r="D36" s="22">
        <v>0.122272614553074</v>
      </c>
      <c r="E36" s="22">
        <v>5.2225810141233203E-2</v>
      </c>
      <c r="F36" s="22">
        <v>0.205168305048751</v>
      </c>
      <c r="G36" s="22">
        <v>2452270.7777777701</v>
      </c>
      <c r="H36" s="22">
        <v>1844779.5395738799</v>
      </c>
      <c r="I36" s="22">
        <v>30951.222222222201</v>
      </c>
      <c r="J36" s="22">
        <v>12292.0992997308</v>
      </c>
      <c r="K36" s="22">
        <v>1413.9967251657999</v>
      </c>
      <c r="L36" s="22">
        <v>1390.87083252057</v>
      </c>
      <c r="M36" s="23"/>
    </row>
    <row r="37" spans="1:13" x14ac:dyDescent="0.2">
      <c r="A37" t="s">
        <v>16</v>
      </c>
      <c r="B37" t="s">
        <v>8</v>
      </c>
      <c r="C37" s="22">
        <v>0.469138454334314</v>
      </c>
      <c r="D37" s="23">
        <v>5.0429806846381299E-2</v>
      </c>
      <c r="E37" s="22">
        <v>0.43667684479497398</v>
      </c>
      <c r="F37" s="22">
        <v>0.50218653852286399</v>
      </c>
      <c r="G37" s="23">
        <v>246362.75</v>
      </c>
      <c r="H37" s="22">
        <v>142406.36073950899</v>
      </c>
      <c r="I37" s="23">
        <v>13010.375</v>
      </c>
      <c r="J37" s="22">
        <v>5156.0897126601603</v>
      </c>
      <c r="K37" s="22">
        <v>3597.43009879486</v>
      </c>
      <c r="L37" s="22">
        <v>2085.4977982660798</v>
      </c>
      <c r="M37" s="23"/>
    </row>
    <row r="38" spans="1:13" x14ac:dyDescent="0.2">
      <c r="A38" t="s">
        <v>17</v>
      </c>
      <c r="B38" t="s">
        <v>8</v>
      </c>
      <c r="C38" s="23">
        <v>1.1410440848096799E-4</v>
      </c>
      <c r="D38" s="23">
        <v>3.5590031727333302E-4</v>
      </c>
      <c r="E38" s="23">
        <v>-9.8639420155569904E-6</v>
      </c>
      <c r="F38" s="23">
        <v>3.5357430553561899E-4</v>
      </c>
      <c r="G38" s="22">
        <v>274942.777777777</v>
      </c>
      <c r="H38" s="22">
        <v>119469.021919677</v>
      </c>
      <c r="I38" s="22">
        <v>12353.222222222201</v>
      </c>
      <c r="J38" s="22">
        <v>3960.9005219071601</v>
      </c>
      <c r="K38" s="22">
        <v>3446.4974354385499</v>
      </c>
      <c r="L38" s="22">
        <v>2244.0784083152898</v>
      </c>
      <c r="M38" s="23"/>
    </row>
    <row r="39" spans="1:13" x14ac:dyDescent="0.2">
      <c r="A39" t="s">
        <v>18</v>
      </c>
      <c r="B39" t="s">
        <v>8</v>
      </c>
      <c r="C39" s="23">
        <v>0</v>
      </c>
      <c r="D39" s="23">
        <v>0</v>
      </c>
      <c r="E39" s="23">
        <v>0</v>
      </c>
      <c r="F39" s="23">
        <v>0</v>
      </c>
      <c r="G39" s="22">
        <v>114641.777777777</v>
      </c>
      <c r="H39" s="22">
        <v>10608.431172630701</v>
      </c>
      <c r="I39" s="22">
        <v>9707.5555555555493</v>
      </c>
      <c r="J39" s="22">
        <v>3341.3748334746501</v>
      </c>
      <c r="K39" s="22">
        <v>2193.2542401012001</v>
      </c>
      <c r="L39" s="22">
        <v>2072.7095280917201</v>
      </c>
    </row>
    <row r="40" spans="1:13" x14ac:dyDescent="0.2">
      <c r="A40" t="s">
        <v>19</v>
      </c>
      <c r="B40" t="s">
        <v>38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ablation</vt:lpstr>
      <vt:lpstr>complete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瑶 唐</dc:creator>
  <cp:lastModifiedBy>瑶 唐</cp:lastModifiedBy>
  <dcterms:created xsi:type="dcterms:W3CDTF">2026-05-04T05:17:03Z</dcterms:created>
  <dcterms:modified xsi:type="dcterms:W3CDTF">2026-05-06T17:07:01Z</dcterms:modified>
</cp:coreProperties>
</file>